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774fef47c0c2426d/Desktop/EXCEL PROJECT/project 2/"/>
    </mc:Choice>
  </mc:AlternateContent>
  <xr:revisionPtr revIDLastSave="56" documentId="8_{9BB5DD92-FDA1-4507-8A97-20B0F7EDFDE6}" xr6:coauthVersionLast="47" xr6:coauthVersionMax="47" xr10:uidLastSave="{7AB3DEF1-DFE5-4038-882A-994B38870BA3}"/>
  <bookViews>
    <workbookView xWindow="-108" yWindow="-108" windowWidth="23256" windowHeight="12456" firstSheet="1" activeTab="1" xr2:uid="{7861EA56-60A6-41D8-93C2-1C41761F55B0}"/>
  </bookViews>
  <sheets>
    <sheet name="pivot report " sheetId="1" r:id="rId1"/>
    <sheet name="Dashboard" sheetId="2" r:id="rId2"/>
    <sheet name="Avg wait time daly trand" sheetId="4" r:id="rId3"/>
    <sheet name="Daily ER no of pateint" sheetId="3" r:id="rId4"/>
    <sheet name="satisfacation score daily trand" sheetId="5" r:id="rId5"/>
  </sheets>
  <definedNames>
    <definedName name="Slicer_Date__Month">#N/A</definedName>
    <definedName name="Slicer_Date__Year">#N/A</definedName>
  </definedNames>
  <calcPr calcId="191029"/>
  <pivotCaches>
    <pivotCache cacheId="15" r:id="rId6"/>
    <pivotCache cacheId="18" r:id="rId7"/>
    <pivotCache cacheId="21" r:id="rId8"/>
    <pivotCache cacheId="24" r:id="rId9"/>
    <pivotCache cacheId="27" r:id="rId10"/>
    <pivotCache cacheId="30" r:id="rId11"/>
    <pivotCache cacheId="33" r:id="rId12"/>
    <pivotCache cacheId="36" r:id="rId13"/>
    <pivotCache cacheId="39" r:id="rId14"/>
    <pivotCache cacheId="42" r:id="rId15"/>
    <pivotCache cacheId="45" r:id="rId16"/>
    <pivotCache cacheId="4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2172f91-c3e3-4784-a09c-7caf452f7832" name="Hospital Emergency Room Data" connection="Query - Hospital Emergency Room Data"/>
          <x15:modelTable id="Calendar_table_ad8af56e-55ac-4a31-9e0d-9780cf6576f9"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1" l="1"/>
  <c r="B46" i="1"/>
  <c r="A46" i="1"/>
  <c r="C45" i="1"/>
  <c r="B45" i="1"/>
  <c r="A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49FD1B-8ED9-4A9D-BF0A-E2CB634CA979}" name="Query - Calendar_table" description="Connection to the 'Calendar_table' query in the workbook." type="100" refreshedVersion="8" minRefreshableVersion="5">
    <extLst>
      <ext xmlns:x15="http://schemas.microsoft.com/office/spreadsheetml/2010/11/main" uri="{DE250136-89BD-433C-8126-D09CA5730AF9}">
        <x15:connection id="3a5e745c-e45f-4169-9fa6-7e77ae7cc4b4"/>
      </ext>
    </extLst>
  </connection>
  <connection id="2" xr16:uid="{6BEC335B-9E21-4BAD-B47B-BD775F4BA54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1f3322b8-f651-40ac-885c-6adeff9a8510"/>
      </ext>
    </extLst>
  </connection>
  <connection id="3" xr16:uid="{819E8E04-C5BB-4D8E-A351-5A04F478223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<sst xmlns="http://schemas.openxmlformats.org/spreadsheetml/2006/main" count="153" uniqueCount="75">
  <si>
    <t>Distinct Count of Patient Id</t>
  </si>
  <si>
    <t>no.of patients</t>
  </si>
  <si>
    <t>Average of Patient Waittime</t>
  </si>
  <si>
    <t>Average of Patient Satisfaction Score</t>
  </si>
  <si>
    <t>Grand Total</t>
  </si>
  <si>
    <t>Row Labels</t>
  </si>
  <si>
    <t>Count of Patient Id</t>
  </si>
  <si>
    <t>Daily trandens of no patient</t>
  </si>
  <si>
    <t>Avg wait time</t>
  </si>
  <si>
    <t>satisfacation score daly trand</t>
  </si>
  <si>
    <t>addimited</t>
  </si>
  <si>
    <t>not addmited</t>
  </si>
  <si>
    <t>Count of Patient Admission Flag</t>
  </si>
  <si>
    <t>Count of Patient Admission Flag2</t>
  </si>
  <si>
    <t>Adimission Status</t>
  </si>
  <si>
    <t>% Status</t>
  </si>
  <si>
    <t>No.of Patient</t>
  </si>
  <si>
    <t>0-9</t>
  </si>
  <si>
    <t>10-19</t>
  </si>
  <si>
    <t>20-29</t>
  </si>
  <si>
    <t>30-39</t>
  </si>
  <si>
    <t>40-49</t>
  </si>
  <si>
    <t>50-59</t>
  </si>
  <si>
    <t>60-69</t>
  </si>
  <si>
    <t>70-79</t>
  </si>
  <si>
    <t>Count of Age Group</t>
  </si>
  <si>
    <t>Age wise ananlysis</t>
  </si>
  <si>
    <t>Delay</t>
  </si>
  <si>
    <t>Ontime</t>
  </si>
  <si>
    <t>Count of Patient attend time</t>
  </si>
  <si>
    <t>attend status</t>
  </si>
  <si>
    <t xml:space="preserve">gender wise </t>
  </si>
  <si>
    <t>Female</t>
  </si>
  <si>
    <t>Male</t>
  </si>
  <si>
    <t>Count of Patient Gender</t>
  </si>
  <si>
    <t>Cardiology</t>
  </si>
  <si>
    <t>Gastroenterology</t>
  </si>
  <si>
    <t>General Practice</t>
  </si>
  <si>
    <t>Neurology</t>
  </si>
  <si>
    <t>None</t>
  </si>
  <si>
    <t>Orthopedics</t>
  </si>
  <si>
    <t>Physiotherapy</t>
  </si>
  <si>
    <t>Renal</t>
  </si>
  <si>
    <t>Count of Department Referral</t>
  </si>
  <si>
    <t>2023</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</si>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</sst>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sz val="11"/>
      <color theme="1" tint="4.9989318521683403E-2"/>
      <name val="Calibri"/>
      <family val="2"/>
      <scheme val="minor"/>
    </font>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1" tint="0.34998626667073579"/>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39997558519241921"/>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2" fontId="0" fillId="0" borderId="0" xfId="0" applyNumberFormat="1"/>
    <xf numFmtId="0" fontId="1" fillId="2" borderId="0" xfId="0" applyFont="1" applyFill="1"/>
    <xf numFmtId="0" fontId="3" fillId="3" borderId="1" xfId="0" applyFont="1" applyFill="1" applyBorder="1"/>
    <xf numFmtId="0" fontId="0" fillId="0" borderId="0" xfId="0" pivotButton="1"/>
    <xf numFmtId="0" fontId="0" fillId="0" borderId="0" xfId="0" applyAlignment="1">
      <alignment horizontal="left"/>
    </xf>
    <xf numFmtId="0" fontId="0" fillId="4" borderId="0" xfId="0" applyFill="1"/>
    <xf numFmtId="0" fontId="0" fillId="5" borderId="0" xfId="0" applyFill="1"/>
    <xf numFmtId="1" fontId="0" fillId="0" borderId="0" xfId="0" applyNumberFormat="1"/>
    <xf numFmtId="10" fontId="0" fillId="0" borderId="0" xfId="0" applyNumberFormat="1"/>
    <xf numFmtId="0" fontId="0" fillId="6" borderId="0" xfId="0" applyFill="1"/>
    <xf numFmtId="0" fontId="0" fillId="7" borderId="0" xfId="0" applyFill="1" applyAlignment="1">
      <alignment horizontal="center"/>
    </xf>
    <xf numFmtId="0" fontId="3" fillId="6" borderId="0" xfId="0" applyFont="1" applyFill="1" applyAlignment="1">
      <alignment horizontal="center"/>
    </xf>
    <xf numFmtId="10" fontId="3" fillId="6" borderId="0" xfId="1" applyNumberFormat="1" applyFont="1" applyFill="1" applyAlignment="1">
      <alignment horizontal="center"/>
    </xf>
    <xf numFmtId="164" fontId="3" fillId="6" borderId="0" xfId="1" applyNumberFormat="1" applyFont="1" applyFill="1" applyAlignment="1">
      <alignment horizontal="center"/>
    </xf>
    <xf numFmtId="0" fontId="3" fillId="7" borderId="0" xfId="0" applyFont="1" applyFill="1" applyAlignment="1">
      <alignment horizontal="center"/>
    </xf>
    <xf numFmtId="0" fontId="0" fillId="0" borderId="0" xfId="0" applyNumberFormat="1"/>
  </cellXfs>
  <cellStyles count="2">
    <cellStyle name="Normal" xfId="0" builtinId="0"/>
    <cellStyle name="Percent" xfId="1" builtinId="5"/>
  </cellStyles>
  <dxfs count="24">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2" formatCode="0.00"/>
    </dxf>
    <dxf>
      <font>
        <b/>
        <color theme="1"/>
      </font>
      <border>
        <bottom style="thin">
          <color theme="5"/>
        </bottom>
        <vertical/>
        <horizontal/>
      </border>
    </dxf>
    <dxf>
      <font>
        <sz val="10"/>
        <color theme="5"/>
        <name val="3ds Condensed"/>
        <scheme val="none"/>
      </font>
      <border>
        <vertical/>
        <horizontal/>
      </border>
    </dxf>
  </dxfs>
  <tableStyles count="1" defaultTableStyle="TableStyleMedium2" defaultPivotStyle="PivotStyleLight16">
    <tableStyle name="My style" pivot="0" table="0" count="10" xr9:uid="{29844D69-5A10-4D83-9F07-EFB5721E5F8E}">
      <tableStyleElement type="wholeTable" dxfId="23"/>
      <tableStyleElement type="headerRow" dxfId="2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 !PivotTable8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pivotFmt>
      <c:pivotFmt>
        <c:idx val="3"/>
      </c:pivotFmt>
      <c:pivotFmt>
        <c:idx val="4"/>
      </c:pivotFmt>
      <c:pivotFmt>
        <c:idx val="5"/>
      </c:pivotFmt>
    </c:pivotFmts>
    <c:plotArea>
      <c:layout>
        <c:manualLayout>
          <c:layoutTarget val="inner"/>
          <c:xMode val="edge"/>
          <c:yMode val="edge"/>
          <c:x val="0.15484084161610945"/>
          <c:y val="0.18181818181818182"/>
          <c:w val="0.84515886519210226"/>
          <c:h val="0.63636363636363635"/>
        </c:manualLayout>
      </c:layout>
      <c:barChart>
        <c:barDir val="bar"/>
        <c:grouping val="clustered"/>
        <c:varyColors val="0"/>
        <c:ser>
          <c:idx val="0"/>
          <c:order val="0"/>
          <c:tx>
            <c:strRef>
              <c:f>'pivot report '!$B$16</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report '!$A$17:$A$19</c:f>
              <c:strCache>
                <c:ptCount val="2"/>
                <c:pt idx="0">
                  <c:v>addimited</c:v>
                </c:pt>
                <c:pt idx="1">
                  <c:v>not addmited</c:v>
                </c:pt>
              </c:strCache>
            </c:strRef>
          </c:cat>
          <c:val>
            <c:numRef>
              <c:f>'pivot report '!$B$17:$B$19</c:f>
              <c:numCache>
                <c:formatCode>0</c:formatCode>
                <c:ptCount val="2"/>
                <c:pt idx="0">
                  <c:v>252</c:v>
                </c:pt>
                <c:pt idx="1">
                  <c:v>254</c:v>
                </c:pt>
              </c:numCache>
            </c:numRef>
          </c:val>
          <c:extLst>
            <c:ext xmlns:c16="http://schemas.microsoft.com/office/drawing/2014/chart" uri="{C3380CC4-5D6E-409C-BE32-E72D297353CC}">
              <c16:uniqueId val="{00000003-2E62-4C1A-8E9B-A867D79316B2}"/>
            </c:ext>
          </c:extLst>
        </c:ser>
        <c:ser>
          <c:idx val="1"/>
          <c:order val="1"/>
          <c:tx>
            <c:strRef>
              <c:f>'pivot report '!$C$16</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strRef>
              <c:f>'pivot report '!$A$17:$A$19</c:f>
              <c:strCache>
                <c:ptCount val="2"/>
                <c:pt idx="0">
                  <c:v>addimited</c:v>
                </c:pt>
                <c:pt idx="1">
                  <c:v>not addmited</c:v>
                </c:pt>
              </c:strCache>
            </c:strRef>
          </c:cat>
          <c:val>
            <c:numRef>
              <c:f>'pivot report '!$C$17:$C$19</c:f>
              <c:numCache>
                <c:formatCode>0.00%</c:formatCode>
                <c:ptCount val="2"/>
                <c:pt idx="0">
                  <c:v>0.49802371541501977</c:v>
                </c:pt>
                <c:pt idx="1">
                  <c:v>0.50197628458498023</c:v>
                </c:pt>
              </c:numCache>
            </c:numRef>
          </c:val>
          <c:extLst>
            <c:ext xmlns:c16="http://schemas.microsoft.com/office/drawing/2014/chart" uri="{C3380CC4-5D6E-409C-BE32-E72D297353CC}">
              <c16:uniqueId val="{00000004-2E62-4C1A-8E9B-A867D79316B2}"/>
            </c:ext>
          </c:extLst>
        </c:ser>
        <c:dLbls>
          <c:dLblPos val="outEnd"/>
          <c:showLegendKey val="0"/>
          <c:showVal val="1"/>
          <c:showCatName val="0"/>
          <c:showSerName val="0"/>
          <c:showPercent val="0"/>
          <c:showBubbleSize val="0"/>
        </c:dLbls>
        <c:gapWidth val="92"/>
        <c:overlap val="-2"/>
        <c:axId val="1103066735"/>
        <c:axId val="1103060495"/>
      </c:barChart>
      <c:catAx>
        <c:axId val="1103066735"/>
        <c:scaling>
          <c:orientation val="minMax"/>
        </c:scaling>
        <c:delete val="1"/>
        <c:axPos val="l"/>
        <c:numFmt formatCode="General" sourceLinked="1"/>
        <c:majorTickMark val="none"/>
        <c:minorTickMark val="none"/>
        <c:tickLblPos val="nextTo"/>
        <c:crossAx val="1103060495"/>
        <c:crosses val="autoZero"/>
        <c:auto val="1"/>
        <c:lblAlgn val="ctr"/>
        <c:lblOffset val="100"/>
        <c:noMultiLvlLbl val="0"/>
      </c:catAx>
      <c:valAx>
        <c:axId val="1103060495"/>
        <c:scaling>
          <c:orientation val="minMax"/>
        </c:scaling>
        <c:delete val="1"/>
        <c:axPos val="b"/>
        <c:numFmt formatCode="0" sourceLinked="1"/>
        <c:majorTickMark val="none"/>
        <c:minorTickMark val="none"/>
        <c:tickLblPos val="nextTo"/>
        <c:crossAx val="110306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 !PivotTable2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34512044471895E-2"/>
          <c:y val="8.2034170422473518E-2"/>
          <c:w val="0.84625604797199905"/>
          <c:h val="0.81677881088964921"/>
        </c:manualLayout>
      </c:layout>
      <c:areaChart>
        <c:grouping val="standard"/>
        <c:varyColors val="0"/>
        <c:ser>
          <c:idx val="0"/>
          <c:order val="0"/>
          <c:tx>
            <c:strRef>
              <c:f>'pivot report '!$E$8</c:f>
              <c:strCache>
                <c:ptCount val="1"/>
                <c:pt idx="0">
                  <c:v>Total</c:v>
                </c:pt>
              </c:strCache>
            </c:strRef>
          </c:tx>
          <c:spPr>
            <a:solidFill>
              <a:schemeClr val="accent1"/>
            </a:solidFill>
            <a:ln w="25400">
              <a:noFill/>
            </a:ln>
            <a:effectLst/>
          </c:spPr>
          <c:cat>
            <c:strRef>
              <c:f>'pivot report '!$D$9:$D$39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'!$E$9:$E$39</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2-65A7-400A-BD87-3C371E3927E4}"/>
            </c:ext>
          </c:extLst>
        </c:ser>
        <c:dLbls>
          <c:showLegendKey val="0"/>
          <c:showVal val="0"/>
          <c:showCatName val="0"/>
          <c:showSerName val="0"/>
          <c:showPercent val="0"/>
          <c:showBubbleSize val="0"/>
        </c:dLbls>
        <c:axId val="1293826399"/>
        <c:axId val="1293828799"/>
      </c:areaChart>
      <c:catAx>
        <c:axId val="1293826399"/>
        <c:scaling>
          <c:orientation val="minMax"/>
        </c:scaling>
        <c:delete val="1"/>
        <c:axPos val="b"/>
        <c:numFmt formatCode="General" sourceLinked="1"/>
        <c:majorTickMark val="out"/>
        <c:minorTickMark val="none"/>
        <c:tickLblPos val="nextTo"/>
        <c:crossAx val="1293828799"/>
        <c:crosses val="autoZero"/>
        <c:auto val="1"/>
        <c:lblAlgn val="ctr"/>
        <c:lblOffset val="100"/>
        <c:noMultiLvlLbl val="0"/>
      </c:catAx>
      <c:valAx>
        <c:axId val="1293828799"/>
        <c:scaling>
          <c:orientation val="minMax"/>
        </c:scaling>
        <c:delete val="1"/>
        <c:axPos val="l"/>
        <c:numFmt formatCode="General" sourceLinked="1"/>
        <c:majorTickMark val="none"/>
        <c:minorTickMark val="none"/>
        <c:tickLblPos val="nextTo"/>
        <c:crossAx val="129382639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 !PivotTable6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5926274680085E-2"/>
          <c:y val="0"/>
          <c:w val="0.82247317094105554"/>
          <c:h val="0.7216865357643758"/>
        </c:manualLayout>
      </c:layout>
      <c:areaChart>
        <c:grouping val="standard"/>
        <c:varyColors val="0"/>
        <c:ser>
          <c:idx val="0"/>
          <c:order val="0"/>
          <c:tx>
            <c:strRef>
              <c:f>'pivot report '!$H$8</c:f>
              <c:strCache>
                <c:ptCount val="1"/>
                <c:pt idx="0">
                  <c:v>Total</c:v>
                </c:pt>
              </c:strCache>
            </c:strRef>
          </c:tx>
          <c:spPr>
            <a:solidFill>
              <a:schemeClr val="accent1"/>
            </a:solidFill>
            <a:ln w="25400">
              <a:noFill/>
            </a:ln>
            <a:effectLst/>
          </c:spPr>
          <c:cat>
            <c:strRef>
              <c:f>'pivot report '!$G$9:$G$39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'!$H$9:$H$39</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2-DDBC-4A33-86AC-6DC50C400B14}"/>
            </c:ext>
          </c:extLst>
        </c:ser>
        <c:dLbls>
          <c:showLegendKey val="0"/>
          <c:showVal val="0"/>
          <c:showCatName val="0"/>
          <c:showSerName val="0"/>
          <c:showPercent val="0"/>
          <c:showBubbleSize val="0"/>
        </c:dLbls>
        <c:axId val="2005891407"/>
        <c:axId val="2005890447"/>
      </c:areaChart>
      <c:catAx>
        <c:axId val="2005891407"/>
        <c:scaling>
          <c:orientation val="minMax"/>
        </c:scaling>
        <c:delete val="1"/>
        <c:axPos val="b"/>
        <c:numFmt formatCode="General" sourceLinked="1"/>
        <c:majorTickMark val="out"/>
        <c:minorTickMark val="none"/>
        <c:tickLblPos val="nextTo"/>
        <c:crossAx val="2005890447"/>
        <c:crosses val="autoZero"/>
        <c:auto val="1"/>
        <c:lblAlgn val="ctr"/>
        <c:lblOffset val="100"/>
        <c:noMultiLvlLbl val="0"/>
      </c:catAx>
      <c:valAx>
        <c:axId val="2005890447"/>
        <c:scaling>
          <c:orientation val="minMax"/>
        </c:scaling>
        <c:delete val="1"/>
        <c:axPos val="l"/>
        <c:numFmt formatCode="0.00" sourceLinked="1"/>
        <c:majorTickMark val="none"/>
        <c:minorTickMark val="none"/>
        <c:tickLblPos val="nextTo"/>
        <c:crossAx val="20058914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 !PivotTable7</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277771238469303E-2"/>
          <c:y val="0.2003621579034397"/>
          <c:w val="0.96072232464091556"/>
          <c:h val="0.79963784209656041"/>
        </c:manualLayout>
      </c:layout>
      <c:areaChart>
        <c:grouping val="standard"/>
        <c:varyColors val="0"/>
        <c:ser>
          <c:idx val="0"/>
          <c:order val="0"/>
          <c:tx>
            <c:strRef>
              <c:f>'pivot report '!$K$8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strRef>
              <c:f>'pivot report '!$J$9:$J$39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'!$K$9:$K$39</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2-551E-4202-9694-849876398E5F}"/>
            </c:ext>
          </c:extLst>
        </c:ser>
        <c:dLbls>
          <c:showLegendKey val="0"/>
          <c:showVal val="0"/>
          <c:showCatName val="0"/>
          <c:showSerName val="0"/>
          <c:showPercent val="0"/>
          <c:showBubbleSize val="0"/>
        </c:dLbls>
        <c:axId val="2000539791"/>
        <c:axId val="2000536911"/>
      </c:areaChart>
      <c:catAx>
        <c:axId val="2000539791"/>
        <c:scaling>
          <c:orientation val="minMax"/>
        </c:scaling>
        <c:delete val="1"/>
        <c:axPos val="b"/>
        <c:numFmt formatCode="General" sourceLinked="1"/>
        <c:majorTickMark val="out"/>
        <c:minorTickMark val="none"/>
        <c:tickLblPos val="nextTo"/>
        <c:crossAx val="2000536911"/>
        <c:crosses val="autoZero"/>
        <c:auto val="1"/>
        <c:lblAlgn val="ctr"/>
        <c:lblOffset val="100"/>
        <c:noMultiLvlLbl val="0"/>
      </c:catAx>
      <c:valAx>
        <c:axId val="2000536911"/>
        <c:scaling>
          <c:orientation val="minMax"/>
        </c:scaling>
        <c:delete val="1"/>
        <c:axPos val="l"/>
        <c:numFmt formatCode="0.00" sourceLinked="1"/>
        <c:majorTickMark val="none"/>
        <c:minorTickMark val="none"/>
        <c:tickLblPos val="nextTo"/>
        <c:crossAx val="20005397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 !PivotTable9</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 '!$F$53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'!$E$54:$E$62</c:f>
              <c:strCache>
                <c:ptCount val="8"/>
                <c:pt idx="0">
                  <c:v>0-9</c:v>
                </c:pt>
                <c:pt idx="1">
                  <c:v>10-19</c:v>
                </c:pt>
                <c:pt idx="2">
                  <c:v>20-29</c:v>
                </c:pt>
                <c:pt idx="3">
                  <c:v>30-39</c:v>
                </c:pt>
                <c:pt idx="4">
                  <c:v>40-49</c:v>
                </c:pt>
                <c:pt idx="5">
                  <c:v>50-59</c:v>
                </c:pt>
                <c:pt idx="6">
                  <c:v>60-69</c:v>
                </c:pt>
                <c:pt idx="7">
                  <c:v>70-79</c:v>
                </c:pt>
              </c:strCache>
            </c:strRef>
          </c:cat>
          <c:val>
            <c:numRef>
              <c:f>'pivot report '!$F$54:$F$62</c:f>
              <c:numCache>
                <c:formatCode>0</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2-2ED6-4996-8E01-EEF28F8D3D30}"/>
            </c:ext>
          </c:extLst>
        </c:ser>
        <c:dLbls>
          <c:dLblPos val="outEnd"/>
          <c:showLegendKey val="0"/>
          <c:showVal val="1"/>
          <c:showCatName val="0"/>
          <c:showSerName val="0"/>
          <c:showPercent val="0"/>
          <c:showBubbleSize val="0"/>
        </c:dLbls>
        <c:gapWidth val="219"/>
        <c:overlap val="-27"/>
        <c:axId val="724403712"/>
        <c:axId val="724408032"/>
      </c:barChart>
      <c:catAx>
        <c:axId val="72440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408032"/>
        <c:crosses val="autoZero"/>
        <c:auto val="1"/>
        <c:lblAlgn val="ctr"/>
        <c:lblOffset val="100"/>
        <c:noMultiLvlLbl val="0"/>
      </c:catAx>
      <c:valAx>
        <c:axId val="724408032"/>
        <c:scaling>
          <c:orientation val="minMax"/>
        </c:scaling>
        <c:delete val="1"/>
        <c:axPos val="l"/>
        <c:numFmt formatCode="0" sourceLinked="1"/>
        <c:majorTickMark val="none"/>
        <c:minorTickMark val="none"/>
        <c:tickLblPos val="nextTo"/>
        <c:crossAx val="72440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 !PivotTable10</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557394489894354"/>
          <c:y val="0.20085256679487137"/>
          <c:w val="0.76208251070111777"/>
          <c:h val="0.92512153680407783"/>
        </c:manualLayout>
      </c:layout>
      <c:pieChart>
        <c:varyColors val="1"/>
        <c:ser>
          <c:idx val="0"/>
          <c:order val="0"/>
          <c:tx>
            <c:strRef>
              <c:f>'pivot report '!$I$53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CEA-4F98-945C-7C0C0167AC6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CEA-4F98-945C-7C0C0167AC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 '!$H$54:$H$56</c:f>
              <c:strCache>
                <c:ptCount val="2"/>
                <c:pt idx="0">
                  <c:v>Delay</c:v>
                </c:pt>
                <c:pt idx="1">
                  <c:v>Ontime</c:v>
                </c:pt>
              </c:strCache>
            </c:strRef>
          </c:cat>
          <c:val>
            <c:numRef>
              <c:f>'pivot report '!$I$54:$I$56</c:f>
              <c:numCache>
                <c:formatCode>0</c:formatCode>
                <c:ptCount val="2"/>
                <c:pt idx="0">
                  <c:v>311</c:v>
                </c:pt>
                <c:pt idx="1">
                  <c:v>195</c:v>
                </c:pt>
              </c:numCache>
            </c:numRef>
          </c:val>
          <c:extLst>
            <c:ext xmlns:c16="http://schemas.microsoft.com/office/drawing/2014/chart" uri="{C3380CC4-5D6E-409C-BE32-E72D297353CC}">
              <c16:uniqueId val="{00000006-4515-4CBA-B627-C0463974F0B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412723797733586"/>
          <c:y val="2.0999996692913907E-2"/>
          <c:w val="0.34595391204408105"/>
          <c:h val="0.233655538135805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 !PivotTable11</c:name>
    <c:fmtId val="29"/>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2988169708211818E-2"/>
          <c:y val="0.16777382942474831"/>
          <c:w val="0.75763535896490697"/>
          <c:h val="0.65010011937515266"/>
        </c:manualLayout>
      </c:layout>
      <c:doughnutChart>
        <c:varyColors val="1"/>
        <c:ser>
          <c:idx val="0"/>
          <c:order val="0"/>
          <c:tx>
            <c:strRef>
              <c:f>'pivot report '!$I$61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CE1-4F5D-9D91-63D780FECD2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CE1-4F5D-9D91-63D780FECD2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 '!$H$62:$H$64</c:f>
              <c:strCache>
                <c:ptCount val="2"/>
                <c:pt idx="0">
                  <c:v>Female</c:v>
                </c:pt>
                <c:pt idx="1">
                  <c:v>Male</c:v>
                </c:pt>
              </c:strCache>
            </c:strRef>
          </c:cat>
          <c:val>
            <c:numRef>
              <c:f>'pivot report '!$I$62:$I$64</c:f>
              <c:numCache>
                <c:formatCode>0</c:formatCode>
                <c:ptCount val="2"/>
                <c:pt idx="0">
                  <c:v>233</c:v>
                </c:pt>
                <c:pt idx="1">
                  <c:v>273</c:v>
                </c:pt>
              </c:numCache>
            </c:numRef>
          </c:val>
          <c:extLst>
            <c:ext xmlns:c16="http://schemas.microsoft.com/office/drawing/2014/chart" uri="{C3380CC4-5D6E-409C-BE32-E72D297353CC}">
              <c16:uniqueId val="{00000006-7902-4E24-A6F5-56470DEEB194}"/>
            </c:ext>
          </c:extLst>
        </c:ser>
        <c:dLbls>
          <c:showLegendKey val="0"/>
          <c:showVal val="0"/>
          <c:showCatName val="0"/>
          <c:showSerName val="0"/>
          <c:showPercent val="1"/>
          <c:showBubbleSize val="0"/>
          <c:showLeaderLines val="1"/>
        </c:dLbls>
        <c:firstSliceAng val="0"/>
        <c:holeSize val="39"/>
      </c:doughnutChart>
      <c:spPr>
        <a:noFill/>
        <a:ln>
          <a:noFill/>
        </a:ln>
        <a:effectLst/>
      </c:spPr>
    </c:plotArea>
    <c:legend>
      <c:legendPos val="r"/>
      <c:layout>
        <c:manualLayout>
          <c:xMode val="edge"/>
          <c:yMode val="edge"/>
          <c:x val="5.6886229406085911E-2"/>
          <c:y val="1.6829869604781836E-2"/>
          <c:w val="0.30530849604274385"/>
          <c:h val="0.2097855648342564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 !PivotTable12</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24846894138232"/>
          <c:y val="7.407407407407407E-2"/>
          <c:w val="0.73108486439195097"/>
          <c:h val="0.8416746864975212"/>
        </c:manualLayout>
      </c:layout>
      <c:barChart>
        <c:barDir val="bar"/>
        <c:grouping val="clustered"/>
        <c:varyColors val="0"/>
        <c:ser>
          <c:idx val="0"/>
          <c:order val="0"/>
          <c:tx>
            <c:strRef>
              <c:f>'pivot report '!$I$69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'!$H$70:$H$78</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 '!$I$70:$I$78</c:f>
              <c:numCache>
                <c:formatCode>0</c:formatCode>
                <c:ptCount val="8"/>
                <c:pt idx="0">
                  <c:v>2</c:v>
                </c:pt>
                <c:pt idx="1">
                  <c:v>11</c:v>
                </c:pt>
                <c:pt idx="2">
                  <c:v>12</c:v>
                </c:pt>
                <c:pt idx="3">
                  <c:v>15</c:v>
                </c:pt>
                <c:pt idx="4">
                  <c:v>18</c:v>
                </c:pt>
                <c:pt idx="5">
                  <c:v>60</c:v>
                </c:pt>
                <c:pt idx="6">
                  <c:v>83</c:v>
                </c:pt>
                <c:pt idx="7">
                  <c:v>305</c:v>
                </c:pt>
              </c:numCache>
            </c:numRef>
          </c:val>
          <c:extLst>
            <c:ext xmlns:c16="http://schemas.microsoft.com/office/drawing/2014/chart" uri="{C3380CC4-5D6E-409C-BE32-E72D297353CC}">
              <c16:uniqueId val="{00000002-8724-447D-BD14-728FB7E638C5}"/>
            </c:ext>
          </c:extLst>
        </c:ser>
        <c:dLbls>
          <c:showLegendKey val="0"/>
          <c:showVal val="0"/>
          <c:showCatName val="0"/>
          <c:showSerName val="0"/>
          <c:showPercent val="0"/>
          <c:showBubbleSize val="0"/>
        </c:dLbls>
        <c:gapWidth val="60"/>
        <c:axId val="1255705999"/>
        <c:axId val="1255703119"/>
      </c:barChart>
      <c:catAx>
        <c:axId val="125570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703119"/>
        <c:crosses val="autoZero"/>
        <c:auto val="1"/>
        <c:lblAlgn val="ctr"/>
        <c:lblOffset val="100"/>
        <c:noMultiLvlLbl val="0"/>
      </c:catAx>
      <c:valAx>
        <c:axId val="125570311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70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 !PivotTable6</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72216516413712E-2"/>
          <c:y val="9.6916299559471369E-2"/>
          <c:w val="0.95358819278025031"/>
          <c:h val="0.7216865357643758"/>
        </c:manualLayout>
      </c:layout>
      <c:areaChart>
        <c:grouping val="standard"/>
        <c:varyColors val="0"/>
        <c:ser>
          <c:idx val="0"/>
          <c:order val="0"/>
          <c:tx>
            <c:strRef>
              <c:f>'pivot report '!$H$8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 '!$G$9:$G$39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'!$H$9:$H$39</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1-AAC3-45E6-9158-CB4C253248B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05891407"/>
        <c:axId val="2005890447"/>
      </c:areaChart>
      <c:catAx>
        <c:axId val="20058914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2005890447"/>
        <c:crosses val="autoZero"/>
        <c:auto val="1"/>
        <c:lblAlgn val="ctr"/>
        <c:lblOffset val="100"/>
        <c:noMultiLvlLbl val="0"/>
      </c:catAx>
      <c:valAx>
        <c:axId val="2005890447"/>
        <c:scaling>
          <c:orientation val="minMax"/>
        </c:scaling>
        <c:delete val="1"/>
        <c:axPos val="l"/>
        <c:numFmt formatCode="0.00" sourceLinked="1"/>
        <c:majorTickMark val="out"/>
        <c:minorTickMark val="none"/>
        <c:tickLblPos val="nextTo"/>
        <c:crossAx val="20058914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 !PivotTable2</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 '!$E$8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 '!$D$9:$D$39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'!$E$9:$E$39</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1-0A12-496A-B561-35CAAF840C4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93826399"/>
        <c:axId val="1293828799"/>
      </c:areaChart>
      <c:catAx>
        <c:axId val="12938263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93828799"/>
        <c:crosses val="autoZero"/>
        <c:auto val="1"/>
        <c:lblAlgn val="ctr"/>
        <c:lblOffset val="100"/>
        <c:noMultiLvlLbl val="0"/>
      </c:catAx>
      <c:valAx>
        <c:axId val="1293828799"/>
        <c:scaling>
          <c:orientation val="minMax"/>
        </c:scaling>
        <c:delete val="1"/>
        <c:axPos val="l"/>
        <c:numFmt formatCode="General" sourceLinked="1"/>
        <c:majorTickMark val="out"/>
        <c:minorTickMark val="none"/>
        <c:tickLblPos val="nextTo"/>
        <c:crossAx val="12938263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report !PivotTable7</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277771238469303E-2"/>
          <c:y val="3.5656401944894653E-2"/>
          <c:w val="0.93633756047999905"/>
          <c:h val="0.83182174351382743"/>
        </c:manualLayout>
      </c:layout>
      <c:areaChart>
        <c:grouping val="standard"/>
        <c:varyColors val="0"/>
        <c:ser>
          <c:idx val="0"/>
          <c:order val="0"/>
          <c:tx>
            <c:strRef>
              <c:f>'pivot report '!$K$8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 '!$J$9:$J$39</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'!$K$9:$K$39</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1-C54B-4286-B45E-043B64C9E6C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00539791"/>
        <c:axId val="2000536911"/>
      </c:areaChart>
      <c:catAx>
        <c:axId val="200053979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00536911"/>
        <c:crosses val="autoZero"/>
        <c:auto val="1"/>
        <c:lblAlgn val="ctr"/>
        <c:lblOffset val="100"/>
        <c:noMultiLvlLbl val="0"/>
      </c:catAx>
      <c:valAx>
        <c:axId val="2000536911"/>
        <c:scaling>
          <c:orientation val="minMax"/>
        </c:scaling>
        <c:delete val="1"/>
        <c:axPos val="l"/>
        <c:numFmt formatCode="0.00" sourceLinked="1"/>
        <c:majorTickMark val="out"/>
        <c:minorTickMark val="none"/>
        <c:tickLblPos val="nextTo"/>
        <c:crossAx val="20005397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ei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ation score daily tra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wait time daly tra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2</xdr:col>
      <xdr:colOff>450850</xdr:colOff>
      <xdr:row>43</xdr:row>
      <xdr:rowOff>63500</xdr:rowOff>
    </xdr:from>
    <xdr:to>
      <xdr:col>4</xdr:col>
      <xdr:colOff>226060</xdr:colOff>
      <xdr:row>46</xdr:row>
      <xdr:rowOff>120650</xdr:rowOff>
    </xdr:to>
    <xdr:graphicFrame macro="">
      <xdr:nvGraphicFramePr>
        <xdr:cNvPr id="7" name="Chart 6">
          <a:extLst>
            <a:ext uri="{FF2B5EF4-FFF2-40B4-BE49-F238E27FC236}">
              <a16:creationId xmlns:a16="http://schemas.microsoft.com/office/drawing/2014/main" id="{C46E2FCC-FD93-E63A-DC2A-9EE180B7B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18955</xdr:colOff>
      <xdr:row>0</xdr:row>
      <xdr:rowOff>63500</xdr:rowOff>
    </xdr:from>
    <xdr:to>
      <xdr:col>6</xdr:col>
      <xdr:colOff>228696</xdr:colOff>
      <xdr:row>4</xdr:row>
      <xdr:rowOff>12700</xdr:rowOff>
    </xdr:to>
    <xdr:sp macro="" textlink="">
      <xdr:nvSpPr>
        <xdr:cNvPr id="2" name="Rectangle: Rounded Corners 1">
          <a:extLst>
            <a:ext uri="{FF2B5EF4-FFF2-40B4-BE49-F238E27FC236}">
              <a16:creationId xmlns:a16="http://schemas.microsoft.com/office/drawing/2014/main" id="{C8B2B389-36FC-780F-2C77-D90C046EE661}"/>
            </a:ext>
          </a:extLst>
        </xdr:cNvPr>
        <xdr:cNvSpPr/>
      </xdr:nvSpPr>
      <xdr:spPr>
        <a:xfrm>
          <a:off x="18955" y="63500"/>
          <a:ext cx="3874598" cy="674914"/>
        </a:xfrm>
        <a:prstGeom prst="roundRect">
          <a:avLst>
            <a:gd name="adj" fmla="val 2616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285751</xdr:colOff>
      <xdr:row>0</xdr:row>
      <xdr:rowOff>57150</xdr:rowOff>
    </xdr:from>
    <xdr:to>
      <xdr:col>8</xdr:col>
      <xdr:colOff>463551</xdr:colOff>
      <xdr:row>4</xdr:row>
      <xdr:rowOff>6350</xdr:rowOff>
    </xdr:to>
    <xdr:sp macro="" textlink="">
      <xdr:nvSpPr>
        <xdr:cNvPr id="3" name="Rectangle: Rounded Corners 2">
          <a:extLst>
            <a:ext uri="{FF2B5EF4-FFF2-40B4-BE49-F238E27FC236}">
              <a16:creationId xmlns:a16="http://schemas.microsoft.com/office/drawing/2014/main" id="{E8740E87-59F0-47F4-8E60-5A11333E88EA}"/>
            </a:ext>
          </a:extLst>
        </xdr:cNvPr>
        <xdr:cNvSpPr/>
      </xdr:nvSpPr>
      <xdr:spPr>
        <a:xfrm>
          <a:off x="3943351" y="57150"/>
          <a:ext cx="1397000" cy="685800"/>
        </a:xfrm>
        <a:prstGeom prst="roundRect">
          <a:avLst>
            <a:gd name="adj" fmla="val 2777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551240</xdr:colOff>
      <xdr:row>0</xdr:row>
      <xdr:rowOff>52009</xdr:rowOff>
    </xdr:from>
    <xdr:to>
      <xdr:col>11</xdr:col>
      <xdr:colOff>436939</xdr:colOff>
      <xdr:row>11</xdr:row>
      <xdr:rowOff>45659</xdr:rowOff>
    </xdr:to>
    <xdr:sp macro="" textlink="">
      <xdr:nvSpPr>
        <xdr:cNvPr id="4" name="Rectangle: Rounded Corners 3">
          <a:extLst>
            <a:ext uri="{FF2B5EF4-FFF2-40B4-BE49-F238E27FC236}">
              <a16:creationId xmlns:a16="http://schemas.microsoft.com/office/drawing/2014/main" id="{8D649423-D8AD-824A-E0A1-8AAF732CD32F}"/>
            </a:ext>
          </a:extLst>
        </xdr:cNvPr>
        <xdr:cNvSpPr/>
      </xdr:nvSpPr>
      <xdr:spPr>
        <a:xfrm>
          <a:off x="5437716" y="52009"/>
          <a:ext cx="1718128" cy="1989364"/>
        </a:xfrm>
        <a:prstGeom prst="roundRect">
          <a:avLst>
            <a:gd name="adj" fmla="val 2307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486531</xdr:colOff>
      <xdr:row>0</xdr:row>
      <xdr:rowOff>76502</xdr:rowOff>
    </xdr:from>
    <xdr:to>
      <xdr:col>14</xdr:col>
      <xdr:colOff>372230</xdr:colOff>
      <xdr:row>11</xdr:row>
      <xdr:rowOff>70152</xdr:rowOff>
    </xdr:to>
    <xdr:sp macro="" textlink="">
      <xdr:nvSpPr>
        <xdr:cNvPr id="5" name="Rectangle: Rounded Corners 4">
          <a:extLst>
            <a:ext uri="{FF2B5EF4-FFF2-40B4-BE49-F238E27FC236}">
              <a16:creationId xmlns:a16="http://schemas.microsoft.com/office/drawing/2014/main" id="{209AE3AC-3E61-48A3-BD15-60ECFB1CFFD5}"/>
            </a:ext>
          </a:extLst>
        </xdr:cNvPr>
        <xdr:cNvSpPr/>
      </xdr:nvSpPr>
      <xdr:spPr>
        <a:xfrm>
          <a:off x="7205436" y="76502"/>
          <a:ext cx="1718127" cy="1989364"/>
        </a:xfrm>
        <a:prstGeom prst="roundRect">
          <a:avLst>
            <a:gd name="adj" fmla="val 1920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36796</xdr:colOff>
      <xdr:row>4</xdr:row>
      <xdr:rowOff>52009</xdr:rowOff>
    </xdr:from>
    <xdr:to>
      <xdr:col>1</xdr:col>
      <xdr:colOff>582991</xdr:colOff>
      <xdr:row>26</xdr:row>
      <xdr:rowOff>134559</xdr:rowOff>
    </xdr:to>
    <xdr:sp macro="" textlink="">
      <xdr:nvSpPr>
        <xdr:cNvPr id="6" name="Rectangle: Rounded Corners 5">
          <a:extLst>
            <a:ext uri="{FF2B5EF4-FFF2-40B4-BE49-F238E27FC236}">
              <a16:creationId xmlns:a16="http://schemas.microsoft.com/office/drawing/2014/main" id="{73ACF0BD-FA24-C369-8831-7B993D1647DF}"/>
            </a:ext>
          </a:extLst>
        </xdr:cNvPr>
        <xdr:cNvSpPr/>
      </xdr:nvSpPr>
      <xdr:spPr>
        <a:xfrm>
          <a:off x="36796" y="777723"/>
          <a:ext cx="1157005" cy="4073979"/>
        </a:xfrm>
        <a:prstGeom prst="roundRect">
          <a:avLst>
            <a:gd name="adj" fmla="val 1175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38100</xdr:colOff>
      <xdr:row>4</xdr:row>
      <xdr:rowOff>120650</xdr:rowOff>
    </xdr:from>
    <xdr:to>
      <xdr:col>4</xdr:col>
      <xdr:colOff>128335</xdr:colOff>
      <xdr:row>9</xdr:row>
      <xdr:rowOff>126912</xdr:rowOff>
    </xdr:to>
    <xdr:sp macro="" textlink="">
      <xdr:nvSpPr>
        <xdr:cNvPr id="7" name="Rectangle: Rounded Corners 6">
          <a:extLst>
            <a:ext uri="{FF2B5EF4-FFF2-40B4-BE49-F238E27FC236}">
              <a16:creationId xmlns:a16="http://schemas.microsoft.com/office/drawing/2014/main" id="{E5D52DE9-33F0-6D46-8CB5-0C0E84719E5F}"/>
            </a:ext>
          </a:extLst>
        </xdr:cNvPr>
        <xdr:cNvSpPr/>
      </xdr:nvSpPr>
      <xdr:spPr>
        <a:xfrm>
          <a:off x="1259719" y="846364"/>
          <a:ext cx="1311854" cy="913405"/>
        </a:xfrm>
        <a:prstGeom prst="roundRect">
          <a:avLst>
            <a:gd name="adj" fmla="val 513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196919</xdr:colOff>
      <xdr:row>4</xdr:row>
      <xdr:rowOff>121040</xdr:rowOff>
    </xdr:from>
    <xdr:to>
      <xdr:col>6</xdr:col>
      <xdr:colOff>287154</xdr:colOff>
      <xdr:row>9</xdr:row>
      <xdr:rowOff>127302</xdr:rowOff>
    </xdr:to>
    <xdr:sp macro="" textlink="">
      <xdr:nvSpPr>
        <xdr:cNvPr id="8" name="Rectangle: Rounded Corners 7">
          <a:extLst>
            <a:ext uri="{FF2B5EF4-FFF2-40B4-BE49-F238E27FC236}">
              <a16:creationId xmlns:a16="http://schemas.microsoft.com/office/drawing/2014/main" id="{313468A9-6743-D567-4D4A-74A7271D4E51}"/>
            </a:ext>
          </a:extLst>
        </xdr:cNvPr>
        <xdr:cNvSpPr/>
      </xdr:nvSpPr>
      <xdr:spPr>
        <a:xfrm>
          <a:off x="2640157" y="846754"/>
          <a:ext cx="1311854" cy="913405"/>
        </a:xfrm>
        <a:prstGeom prst="roundRect">
          <a:avLst>
            <a:gd name="adj" fmla="val 116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386014</xdr:colOff>
      <xdr:row>4</xdr:row>
      <xdr:rowOff>109248</xdr:rowOff>
    </xdr:from>
    <xdr:to>
      <xdr:col>8</xdr:col>
      <xdr:colOff>476249</xdr:colOff>
      <xdr:row>9</xdr:row>
      <xdr:rowOff>115510</xdr:rowOff>
    </xdr:to>
    <xdr:sp macro="" textlink="">
      <xdr:nvSpPr>
        <xdr:cNvPr id="9" name="Rectangle: Rounded Corners 8">
          <a:extLst>
            <a:ext uri="{FF2B5EF4-FFF2-40B4-BE49-F238E27FC236}">
              <a16:creationId xmlns:a16="http://schemas.microsoft.com/office/drawing/2014/main" id="{CF34BB6F-9FF2-5E7C-A5FB-27A7FA320E3C}"/>
            </a:ext>
          </a:extLst>
        </xdr:cNvPr>
        <xdr:cNvSpPr/>
      </xdr:nvSpPr>
      <xdr:spPr>
        <a:xfrm>
          <a:off x="4050871" y="834962"/>
          <a:ext cx="1311854" cy="913405"/>
        </a:xfrm>
        <a:prstGeom prst="roundRect">
          <a:avLst>
            <a:gd name="adj" fmla="val 116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11994</xdr:colOff>
      <xdr:row>15</xdr:row>
      <xdr:rowOff>0</xdr:rowOff>
    </xdr:from>
    <xdr:to>
      <xdr:col>8</xdr:col>
      <xdr:colOff>542572</xdr:colOff>
      <xdr:row>26</xdr:row>
      <xdr:rowOff>145962</xdr:rowOff>
    </xdr:to>
    <xdr:sp macro="" textlink="">
      <xdr:nvSpPr>
        <xdr:cNvPr id="11" name="Rectangle: Rounded Corners 10">
          <a:extLst>
            <a:ext uri="{FF2B5EF4-FFF2-40B4-BE49-F238E27FC236}">
              <a16:creationId xmlns:a16="http://schemas.microsoft.com/office/drawing/2014/main" id="{D01CAA8E-1E8A-2EFD-AAE2-EF31BD7CBE77}"/>
            </a:ext>
          </a:extLst>
        </xdr:cNvPr>
        <xdr:cNvSpPr/>
      </xdr:nvSpPr>
      <xdr:spPr>
        <a:xfrm>
          <a:off x="1225550" y="2751667"/>
          <a:ext cx="4171244" cy="2163851"/>
        </a:xfrm>
        <a:prstGeom prst="roundRect">
          <a:avLst>
            <a:gd name="adj" fmla="val 1175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608996</xdr:colOff>
      <xdr:row>9</xdr:row>
      <xdr:rowOff>176288</xdr:rowOff>
    </xdr:from>
    <xdr:to>
      <xdr:col>8</xdr:col>
      <xdr:colOff>513746</xdr:colOff>
      <xdr:row>14</xdr:row>
      <xdr:rowOff>83759</xdr:rowOff>
    </xdr:to>
    <xdr:sp macro="" textlink="">
      <xdr:nvSpPr>
        <xdr:cNvPr id="12" name="Rectangle: Rounded Corners 11">
          <a:extLst>
            <a:ext uri="{FF2B5EF4-FFF2-40B4-BE49-F238E27FC236}">
              <a16:creationId xmlns:a16="http://schemas.microsoft.com/office/drawing/2014/main" id="{BF859032-0FD8-0B31-4283-C30B24A53BD8}"/>
            </a:ext>
          </a:extLst>
        </xdr:cNvPr>
        <xdr:cNvSpPr/>
      </xdr:nvSpPr>
      <xdr:spPr>
        <a:xfrm>
          <a:off x="1219806" y="1809145"/>
          <a:ext cx="4180416" cy="814614"/>
        </a:xfrm>
        <a:prstGeom prst="roundRect">
          <a:avLst>
            <a:gd name="adj" fmla="val 80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3325</xdr:colOff>
      <xdr:row>11</xdr:row>
      <xdr:rowOff>99887</xdr:rowOff>
    </xdr:from>
    <xdr:to>
      <xdr:col>14</xdr:col>
      <xdr:colOff>487134</xdr:colOff>
      <xdr:row>26</xdr:row>
      <xdr:rowOff>61787</xdr:rowOff>
    </xdr:to>
    <xdr:sp macro="" textlink="">
      <xdr:nvSpPr>
        <xdr:cNvPr id="18" name="Rectangle: Rounded Corners 17">
          <a:extLst>
            <a:ext uri="{FF2B5EF4-FFF2-40B4-BE49-F238E27FC236}">
              <a16:creationId xmlns:a16="http://schemas.microsoft.com/office/drawing/2014/main" id="{09284171-4791-1BFD-1209-7A212534D839}"/>
            </a:ext>
          </a:extLst>
        </xdr:cNvPr>
        <xdr:cNvSpPr/>
      </xdr:nvSpPr>
      <xdr:spPr>
        <a:xfrm>
          <a:off x="5464325" y="2117776"/>
          <a:ext cx="3517698" cy="2713567"/>
        </a:xfrm>
        <a:prstGeom prst="roundRect">
          <a:avLst>
            <a:gd name="adj" fmla="val 1068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293915</xdr:colOff>
      <xdr:row>0</xdr:row>
      <xdr:rowOff>137281</xdr:rowOff>
    </xdr:from>
    <xdr:to>
      <xdr:col>5</xdr:col>
      <xdr:colOff>249465</xdr:colOff>
      <xdr:row>2</xdr:row>
      <xdr:rowOff>44753</xdr:rowOff>
    </xdr:to>
    <xdr:sp macro="" textlink="">
      <xdr:nvSpPr>
        <xdr:cNvPr id="19" name="TextBox 18">
          <a:extLst>
            <a:ext uri="{FF2B5EF4-FFF2-40B4-BE49-F238E27FC236}">
              <a16:creationId xmlns:a16="http://schemas.microsoft.com/office/drawing/2014/main" id="{EC2478B9-A1F2-DFDC-673A-21321BF87D55}"/>
            </a:ext>
          </a:extLst>
        </xdr:cNvPr>
        <xdr:cNvSpPr txBox="1"/>
      </xdr:nvSpPr>
      <xdr:spPr>
        <a:xfrm>
          <a:off x="904725" y="137281"/>
          <a:ext cx="2398788" cy="270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mn-lt"/>
            </a:rPr>
            <a:t>Hospital Emergency Room</a:t>
          </a:r>
          <a:r>
            <a:rPr lang="en-IN" sz="1200" b="1" baseline="0">
              <a:latin typeface="+mn-lt"/>
            </a:rPr>
            <a:t> Dashboard</a:t>
          </a:r>
          <a:endParaRPr lang="en-IN" sz="1200" b="1">
            <a:latin typeface="+mn-lt"/>
          </a:endParaRPr>
        </a:p>
      </xdr:txBody>
    </xdr:sp>
    <xdr:clientData/>
  </xdr:twoCellAnchor>
  <xdr:twoCellAnchor editAs="oneCell">
    <xdr:from>
      <xdr:col>0</xdr:col>
      <xdr:colOff>18141</xdr:colOff>
      <xdr:row>0</xdr:row>
      <xdr:rowOff>151190</xdr:rowOff>
    </xdr:from>
    <xdr:to>
      <xdr:col>1</xdr:col>
      <xdr:colOff>344712</xdr:colOff>
      <xdr:row>3</xdr:row>
      <xdr:rowOff>133048</xdr:rowOff>
    </xdr:to>
    <xdr:pic>
      <xdr:nvPicPr>
        <xdr:cNvPr id="21" name="Picture 20">
          <a:extLst>
            <a:ext uri="{FF2B5EF4-FFF2-40B4-BE49-F238E27FC236}">
              <a16:creationId xmlns:a16="http://schemas.microsoft.com/office/drawing/2014/main" id="{481836EF-B04D-F2C7-DD05-AC95625DA4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024" t="15327" r="3050" b="6230"/>
        <a:stretch>
          <a:fillRect/>
        </a:stretch>
      </xdr:blipFill>
      <xdr:spPr>
        <a:xfrm>
          <a:off x="18141" y="151190"/>
          <a:ext cx="937381" cy="526144"/>
        </a:xfrm>
        <a:prstGeom prst="rect">
          <a:avLst/>
        </a:prstGeom>
      </xdr:spPr>
    </xdr:pic>
    <xdr:clientData/>
  </xdr:twoCellAnchor>
  <xdr:twoCellAnchor editAs="absolute">
    <xdr:from>
      <xdr:col>2</xdr:col>
      <xdr:colOff>199571</xdr:colOff>
      <xdr:row>2</xdr:row>
      <xdr:rowOff>16329</xdr:rowOff>
    </xdr:from>
    <xdr:to>
      <xdr:col>4</xdr:col>
      <xdr:colOff>43846</xdr:colOff>
      <xdr:row>3</xdr:row>
      <xdr:rowOff>36285</xdr:rowOff>
    </xdr:to>
    <xdr:sp macro="" textlink="">
      <xdr:nvSpPr>
        <xdr:cNvPr id="22" name="TextBox 21">
          <a:extLst>
            <a:ext uri="{FF2B5EF4-FFF2-40B4-BE49-F238E27FC236}">
              <a16:creationId xmlns:a16="http://schemas.microsoft.com/office/drawing/2014/main" id="{49260F27-1DF6-9681-F8FE-5C7D1027ECB6}"/>
            </a:ext>
          </a:extLst>
        </xdr:cNvPr>
        <xdr:cNvSpPr txBox="1"/>
      </xdr:nvSpPr>
      <xdr:spPr>
        <a:xfrm>
          <a:off x="1421190" y="379186"/>
          <a:ext cx="1065894" cy="20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mn-lt"/>
            </a:rPr>
            <a:t>Monthly</a:t>
          </a:r>
          <a:r>
            <a:rPr lang="en-IN" sz="1200" b="1" baseline="0">
              <a:latin typeface="+mn-lt"/>
            </a:rPr>
            <a:t> Report</a:t>
          </a:r>
          <a:endParaRPr lang="en-IN" sz="1200" b="1">
            <a:latin typeface="+mn-lt"/>
          </a:endParaRPr>
        </a:p>
      </xdr:txBody>
    </xdr:sp>
    <xdr:clientData/>
  </xdr:twoCellAnchor>
  <xdr:twoCellAnchor editAs="absolute">
    <xdr:from>
      <xdr:col>2</xdr:col>
      <xdr:colOff>181429</xdr:colOff>
      <xdr:row>6</xdr:row>
      <xdr:rowOff>22376</xdr:rowOff>
    </xdr:from>
    <xdr:to>
      <xdr:col>4</xdr:col>
      <xdr:colOff>25704</xdr:colOff>
      <xdr:row>7</xdr:row>
      <xdr:rowOff>42332</xdr:rowOff>
    </xdr:to>
    <xdr:sp macro="" textlink="">
      <xdr:nvSpPr>
        <xdr:cNvPr id="23" name="TextBox 22">
          <a:extLst>
            <a:ext uri="{FF2B5EF4-FFF2-40B4-BE49-F238E27FC236}">
              <a16:creationId xmlns:a16="http://schemas.microsoft.com/office/drawing/2014/main" id="{E143E69A-3BC7-0E8A-73A4-D18091839BD4}"/>
            </a:ext>
          </a:extLst>
        </xdr:cNvPr>
        <xdr:cNvSpPr txBox="1"/>
      </xdr:nvSpPr>
      <xdr:spPr>
        <a:xfrm>
          <a:off x="1403048" y="1110947"/>
          <a:ext cx="1065894" cy="20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0">
              <a:latin typeface="+mn-lt"/>
            </a:rPr>
            <a:t>NO.Of.Patient</a:t>
          </a:r>
        </a:p>
      </xdr:txBody>
    </xdr:sp>
    <xdr:clientData/>
  </xdr:twoCellAnchor>
  <xdr:twoCellAnchor editAs="absolute">
    <xdr:from>
      <xdr:col>2</xdr:col>
      <xdr:colOff>163285</xdr:colOff>
      <xdr:row>5</xdr:row>
      <xdr:rowOff>10280</xdr:rowOff>
    </xdr:from>
    <xdr:to>
      <xdr:col>4</xdr:col>
      <xdr:colOff>7560</xdr:colOff>
      <xdr:row>6</xdr:row>
      <xdr:rowOff>30237</xdr:rowOff>
    </xdr:to>
    <xdr:sp macro="" textlink="'pivot report '!A5">
      <xdr:nvSpPr>
        <xdr:cNvPr id="24" name="TextBox 23">
          <a:extLst>
            <a:ext uri="{FF2B5EF4-FFF2-40B4-BE49-F238E27FC236}">
              <a16:creationId xmlns:a16="http://schemas.microsoft.com/office/drawing/2014/main" id="{B6C6E2CF-4882-167B-F583-1B92637D2FE2}"/>
            </a:ext>
          </a:extLst>
        </xdr:cNvPr>
        <xdr:cNvSpPr txBox="1"/>
      </xdr:nvSpPr>
      <xdr:spPr>
        <a:xfrm>
          <a:off x="1384904" y="917423"/>
          <a:ext cx="1065894" cy="20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5FD23A1-7DA7-41C6-BFD3-218E82831531}" type="TxLink">
            <a:rPr lang="en-US" sz="1100" b="0" i="0" u="none" strike="noStrike">
              <a:solidFill>
                <a:srgbClr val="000000"/>
              </a:solidFill>
              <a:latin typeface="Calibri"/>
              <a:ea typeface="Calibri"/>
              <a:cs typeface="Calibri"/>
            </a:rPr>
            <a:pPr algn="ctr"/>
            <a:t>506</a:t>
          </a:fld>
          <a:endParaRPr lang="en-IN" sz="1200" b="1">
            <a:latin typeface="+mn-lt"/>
          </a:endParaRPr>
        </a:p>
      </xdr:txBody>
    </xdr:sp>
    <xdr:clientData/>
  </xdr:twoCellAnchor>
  <xdr:twoCellAnchor editAs="absolute">
    <xdr:from>
      <xdr:col>4</xdr:col>
      <xdr:colOff>272142</xdr:colOff>
      <xdr:row>6</xdr:row>
      <xdr:rowOff>16328</xdr:rowOff>
    </xdr:from>
    <xdr:to>
      <xdr:col>6</xdr:col>
      <xdr:colOff>284238</xdr:colOff>
      <xdr:row>7</xdr:row>
      <xdr:rowOff>48381</xdr:rowOff>
    </xdr:to>
    <xdr:sp macro="" textlink="">
      <xdr:nvSpPr>
        <xdr:cNvPr id="25" name="TextBox 24">
          <a:extLst>
            <a:ext uri="{FF2B5EF4-FFF2-40B4-BE49-F238E27FC236}">
              <a16:creationId xmlns:a16="http://schemas.microsoft.com/office/drawing/2014/main" id="{8BD38A82-2524-C7B1-8AC0-9A5F6FF0EB54}"/>
            </a:ext>
          </a:extLst>
        </xdr:cNvPr>
        <xdr:cNvSpPr txBox="1"/>
      </xdr:nvSpPr>
      <xdr:spPr>
        <a:xfrm>
          <a:off x="2715380" y="1104899"/>
          <a:ext cx="1233715" cy="213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0">
              <a:latin typeface="+mn-lt"/>
            </a:rPr>
            <a:t>Avarage</a:t>
          </a:r>
          <a:r>
            <a:rPr lang="en-IN" sz="1000" b="0" baseline="0">
              <a:latin typeface="+mn-lt"/>
            </a:rPr>
            <a:t> wait time</a:t>
          </a:r>
          <a:endParaRPr lang="en-IN" sz="1000" b="0">
            <a:latin typeface="+mn-lt"/>
          </a:endParaRPr>
        </a:p>
      </xdr:txBody>
    </xdr:sp>
    <xdr:clientData/>
  </xdr:twoCellAnchor>
  <xdr:twoCellAnchor editAs="absolute">
    <xdr:from>
      <xdr:col>4</xdr:col>
      <xdr:colOff>290286</xdr:colOff>
      <xdr:row>5</xdr:row>
      <xdr:rowOff>4233</xdr:rowOff>
    </xdr:from>
    <xdr:to>
      <xdr:col>6</xdr:col>
      <xdr:colOff>134561</xdr:colOff>
      <xdr:row>6</xdr:row>
      <xdr:rowOff>24190</xdr:rowOff>
    </xdr:to>
    <xdr:sp macro="" textlink="'pivot report '!A9">
      <xdr:nvSpPr>
        <xdr:cNvPr id="26" name="TextBox 25">
          <a:extLst>
            <a:ext uri="{FF2B5EF4-FFF2-40B4-BE49-F238E27FC236}">
              <a16:creationId xmlns:a16="http://schemas.microsoft.com/office/drawing/2014/main" id="{613EAF73-C987-BDA6-1AF6-1C1B259E0FE4}"/>
            </a:ext>
          </a:extLst>
        </xdr:cNvPr>
        <xdr:cNvSpPr txBox="1"/>
      </xdr:nvSpPr>
      <xdr:spPr>
        <a:xfrm>
          <a:off x="2733524" y="911376"/>
          <a:ext cx="1065894" cy="20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D65AC94-7994-4EE7-8011-D181969A5901}" type="TxLink">
            <a:rPr lang="en-US" sz="1100" b="0" i="0" u="none" strike="noStrike">
              <a:solidFill>
                <a:srgbClr val="000000"/>
              </a:solidFill>
              <a:latin typeface="Calibri"/>
              <a:ea typeface="Calibri"/>
              <a:cs typeface="Calibri"/>
            </a:rPr>
            <a:pPr algn="ctr"/>
            <a:t>35.58</a:t>
          </a:fld>
          <a:endParaRPr lang="en-IN" sz="1200" b="1">
            <a:latin typeface="+mn-lt"/>
          </a:endParaRPr>
        </a:p>
      </xdr:txBody>
    </xdr:sp>
    <xdr:clientData/>
  </xdr:twoCellAnchor>
  <xdr:twoCellAnchor editAs="absolute">
    <xdr:from>
      <xdr:col>6</xdr:col>
      <xdr:colOff>381000</xdr:colOff>
      <xdr:row>6</xdr:row>
      <xdr:rowOff>40519</xdr:rowOff>
    </xdr:from>
    <xdr:to>
      <xdr:col>8</xdr:col>
      <xdr:colOff>471714</xdr:colOff>
      <xdr:row>7</xdr:row>
      <xdr:rowOff>42333</xdr:rowOff>
    </xdr:to>
    <xdr:sp macro="" textlink="">
      <xdr:nvSpPr>
        <xdr:cNvPr id="27" name="TextBox 26">
          <a:extLst>
            <a:ext uri="{FF2B5EF4-FFF2-40B4-BE49-F238E27FC236}">
              <a16:creationId xmlns:a16="http://schemas.microsoft.com/office/drawing/2014/main" id="{8E5BDA94-AF6C-0ED0-46AE-EB87CA8AF12B}"/>
            </a:ext>
          </a:extLst>
        </xdr:cNvPr>
        <xdr:cNvSpPr txBox="1"/>
      </xdr:nvSpPr>
      <xdr:spPr>
        <a:xfrm>
          <a:off x="4045857" y="1129090"/>
          <a:ext cx="1312333" cy="183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0">
              <a:latin typeface="+mn-lt"/>
            </a:rPr>
            <a:t>Patient Satisfacation score</a:t>
          </a:r>
        </a:p>
      </xdr:txBody>
    </xdr:sp>
    <xdr:clientData/>
  </xdr:twoCellAnchor>
  <xdr:twoCellAnchor editAs="absolute">
    <xdr:from>
      <xdr:col>6</xdr:col>
      <xdr:colOff>514047</xdr:colOff>
      <xdr:row>5</xdr:row>
      <xdr:rowOff>28423</xdr:rowOff>
    </xdr:from>
    <xdr:to>
      <xdr:col>8</xdr:col>
      <xdr:colOff>358322</xdr:colOff>
      <xdr:row>6</xdr:row>
      <xdr:rowOff>48380</xdr:rowOff>
    </xdr:to>
    <xdr:sp macro="" textlink="'pivot report '!A13">
      <xdr:nvSpPr>
        <xdr:cNvPr id="28" name="TextBox 27">
          <a:extLst>
            <a:ext uri="{FF2B5EF4-FFF2-40B4-BE49-F238E27FC236}">
              <a16:creationId xmlns:a16="http://schemas.microsoft.com/office/drawing/2014/main" id="{CA40FD31-EEC9-FB1C-54EC-344337E0EFC6}"/>
            </a:ext>
          </a:extLst>
        </xdr:cNvPr>
        <xdr:cNvSpPr txBox="1"/>
      </xdr:nvSpPr>
      <xdr:spPr>
        <a:xfrm>
          <a:off x="4178904" y="935566"/>
          <a:ext cx="1065894" cy="20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FF25A27-DBEE-45AA-8C99-5BDE4C57CFD9}" type="TxLink">
            <a:rPr lang="en-US" sz="1100" b="0" i="0" u="none" strike="noStrike">
              <a:solidFill>
                <a:srgbClr val="000000"/>
              </a:solidFill>
              <a:latin typeface="Calibri"/>
              <a:ea typeface="Calibri"/>
              <a:cs typeface="Calibri"/>
            </a:rPr>
            <a:pPr algn="ctr"/>
            <a:t>5.18</a:t>
          </a:fld>
          <a:endParaRPr lang="en-IN" sz="1200" b="1">
            <a:latin typeface="+mn-lt"/>
          </a:endParaRPr>
        </a:p>
      </xdr:txBody>
    </xdr:sp>
    <xdr:clientData/>
  </xdr:twoCellAnchor>
  <xdr:twoCellAnchor editAs="oneCell">
    <xdr:from>
      <xdr:col>2</xdr:col>
      <xdr:colOff>102809</xdr:colOff>
      <xdr:row>4</xdr:row>
      <xdr:rowOff>120953</xdr:rowOff>
    </xdr:from>
    <xdr:to>
      <xdr:col>2</xdr:col>
      <xdr:colOff>391016</xdr:colOff>
      <xdr:row>6</xdr:row>
      <xdr:rowOff>42334</xdr:rowOff>
    </xdr:to>
    <xdr:pic>
      <xdr:nvPicPr>
        <xdr:cNvPr id="13" name="Graphic 12" descr="Male profile with solid fill">
          <a:extLst>
            <a:ext uri="{FF2B5EF4-FFF2-40B4-BE49-F238E27FC236}">
              <a16:creationId xmlns:a16="http://schemas.microsoft.com/office/drawing/2014/main" id="{8D9078BB-DFAC-E821-2EBE-B8D714B46E8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24428" y="846667"/>
          <a:ext cx="288207" cy="284238"/>
        </a:xfrm>
        <a:prstGeom prst="rect">
          <a:avLst/>
        </a:prstGeom>
      </xdr:spPr>
    </xdr:pic>
    <xdr:clientData/>
  </xdr:twoCellAnchor>
  <xdr:twoCellAnchor editAs="oneCell">
    <xdr:from>
      <xdr:col>4</xdr:col>
      <xdr:colOff>217714</xdr:colOff>
      <xdr:row>4</xdr:row>
      <xdr:rowOff>144586</xdr:rowOff>
    </xdr:from>
    <xdr:to>
      <xdr:col>4</xdr:col>
      <xdr:colOff>536300</xdr:colOff>
      <xdr:row>6</xdr:row>
      <xdr:rowOff>42334</xdr:rowOff>
    </xdr:to>
    <xdr:pic>
      <xdr:nvPicPr>
        <xdr:cNvPr id="29" name="Graphic 28" descr="Stopwatch with solid fill">
          <a:extLst>
            <a:ext uri="{FF2B5EF4-FFF2-40B4-BE49-F238E27FC236}">
              <a16:creationId xmlns:a16="http://schemas.microsoft.com/office/drawing/2014/main" id="{3E45B2E1-D3AD-B827-00D4-C56C9955DEA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660952" y="870300"/>
          <a:ext cx="318586" cy="260605"/>
        </a:xfrm>
        <a:prstGeom prst="rect">
          <a:avLst/>
        </a:prstGeom>
      </xdr:spPr>
    </xdr:pic>
    <xdr:clientData/>
  </xdr:twoCellAnchor>
  <xdr:twoCellAnchor editAs="oneCell">
    <xdr:from>
      <xdr:col>6</xdr:col>
      <xdr:colOff>417287</xdr:colOff>
      <xdr:row>4</xdr:row>
      <xdr:rowOff>127001</xdr:rowOff>
    </xdr:from>
    <xdr:to>
      <xdr:col>7</xdr:col>
      <xdr:colOff>146655</xdr:colOff>
      <xdr:row>6</xdr:row>
      <xdr:rowOff>72572</xdr:rowOff>
    </xdr:to>
    <xdr:pic>
      <xdr:nvPicPr>
        <xdr:cNvPr id="31" name="Graphic 30" descr="Subtitles with solid fill">
          <a:extLst>
            <a:ext uri="{FF2B5EF4-FFF2-40B4-BE49-F238E27FC236}">
              <a16:creationId xmlns:a16="http://schemas.microsoft.com/office/drawing/2014/main" id="{3A2BA8CA-3085-8157-EE40-063A401713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82144" y="852715"/>
          <a:ext cx="340178" cy="308428"/>
        </a:xfrm>
        <a:prstGeom prst="rect">
          <a:avLst/>
        </a:prstGeom>
      </xdr:spPr>
    </xdr:pic>
    <xdr:clientData/>
  </xdr:twoCellAnchor>
  <xdr:twoCellAnchor editAs="oneCell">
    <xdr:from>
      <xdr:col>0</xdr:col>
      <xdr:colOff>78618</xdr:colOff>
      <xdr:row>4</xdr:row>
      <xdr:rowOff>139096</xdr:rowOff>
    </xdr:from>
    <xdr:to>
      <xdr:col>1</xdr:col>
      <xdr:colOff>489857</xdr:colOff>
      <xdr:row>26</xdr:row>
      <xdr:rowOff>12095</xdr:rowOff>
    </xdr:to>
    <mc:AlternateContent xmlns:mc="http://schemas.openxmlformats.org/markup-compatibility/2006" xmlns:a14="http://schemas.microsoft.com/office/drawing/2010/main">
      <mc:Choice Requires="a14">
        <xdr:graphicFrame macro="">
          <xdr:nvGraphicFramePr>
            <xdr:cNvPr id="32" name="Date (Month)">
              <a:extLst>
                <a:ext uri="{FF2B5EF4-FFF2-40B4-BE49-F238E27FC236}">
                  <a16:creationId xmlns:a16="http://schemas.microsoft.com/office/drawing/2014/main" id="{F1B60EE1-8916-465A-8B11-858A1101070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8618" y="864810"/>
              <a:ext cx="1022049" cy="3864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514045</xdr:colOff>
      <xdr:row>6</xdr:row>
      <xdr:rowOff>30239</xdr:rowOff>
    </xdr:from>
    <xdr:to>
      <xdr:col>4</xdr:col>
      <xdr:colOff>235857</xdr:colOff>
      <xdr:row>10</xdr:row>
      <xdr:rowOff>12095</xdr:rowOff>
    </xdr:to>
    <xdr:graphicFrame macro="">
      <xdr:nvGraphicFramePr>
        <xdr:cNvPr id="33" name="Chart 32">
          <a:hlinkClick xmlns:r="http://schemas.openxmlformats.org/officeDocument/2006/relationships" r:id="rId8"/>
          <a:extLst>
            <a:ext uri="{FF2B5EF4-FFF2-40B4-BE49-F238E27FC236}">
              <a16:creationId xmlns:a16="http://schemas.microsoft.com/office/drawing/2014/main" id="{D3CE8C6E-9252-4FD8-8375-7AE72E471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4</xdr:col>
      <xdr:colOff>84669</xdr:colOff>
      <xdr:row>6</xdr:row>
      <xdr:rowOff>114905</xdr:rowOff>
    </xdr:from>
    <xdr:to>
      <xdr:col>6</xdr:col>
      <xdr:colOff>447526</xdr:colOff>
      <xdr:row>10</xdr:row>
      <xdr:rowOff>163285</xdr:rowOff>
    </xdr:to>
    <xdr:graphicFrame macro="">
      <xdr:nvGraphicFramePr>
        <xdr:cNvPr id="34" name="Chart 33">
          <a:hlinkClick xmlns:r="http://schemas.openxmlformats.org/officeDocument/2006/relationships" r:id="rId10"/>
          <a:extLst>
            <a:ext uri="{FF2B5EF4-FFF2-40B4-BE49-F238E27FC236}">
              <a16:creationId xmlns:a16="http://schemas.microsoft.com/office/drawing/2014/main" id="{3936ED6C-C136-4E3B-A5E1-60622CFE4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6</xdr:col>
      <xdr:colOff>344715</xdr:colOff>
      <xdr:row>6</xdr:row>
      <xdr:rowOff>36286</xdr:rowOff>
    </xdr:from>
    <xdr:to>
      <xdr:col>8</xdr:col>
      <xdr:colOff>471715</xdr:colOff>
      <xdr:row>9</xdr:row>
      <xdr:rowOff>108858</xdr:rowOff>
    </xdr:to>
    <xdr:graphicFrame macro="">
      <xdr:nvGraphicFramePr>
        <xdr:cNvPr id="36" name="Chart 35">
          <a:hlinkClick xmlns:r="http://schemas.openxmlformats.org/officeDocument/2006/relationships" r:id="rId12"/>
          <a:extLst>
            <a:ext uri="{FF2B5EF4-FFF2-40B4-BE49-F238E27FC236}">
              <a16:creationId xmlns:a16="http://schemas.microsoft.com/office/drawing/2014/main" id="{3764F474-7D76-4D9E-9B83-38C6DEB1A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66525</xdr:colOff>
          <xdr:row>10</xdr:row>
          <xdr:rowOff>37293</xdr:rowOff>
        </xdr:from>
        <xdr:to>
          <xdr:col>8</xdr:col>
          <xdr:colOff>544287</xdr:colOff>
          <xdr:row>14</xdr:row>
          <xdr:rowOff>81938</xdr:rowOff>
        </xdr:to>
        <xdr:pic>
          <xdr:nvPicPr>
            <xdr:cNvPr id="42" name="Picture 41">
              <a:extLst>
                <a:ext uri="{FF2B5EF4-FFF2-40B4-BE49-F238E27FC236}">
                  <a16:creationId xmlns:a16="http://schemas.microsoft.com/office/drawing/2014/main" id="{B6D80912-FB20-3F3E-ADFA-9D397F68CC61}"/>
                </a:ext>
              </a:extLst>
            </xdr:cNvPr>
            <xdr:cNvPicPr>
              <a:picLocks noChangeAspect="1" noChangeArrowheads="1"/>
              <a:extLst>
                <a:ext uri="{84589F7E-364E-4C9E-8A38-B11213B215E9}">
                  <a14:cameraTool cellRange="'pivot report '!$A$44:$D$46" spid="_x0000_s1096"/>
                </a:ext>
              </a:extLst>
            </xdr:cNvPicPr>
          </xdr:nvPicPr>
          <xdr:blipFill>
            <a:blip xmlns:r="http://schemas.openxmlformats.org/officeDocument/2006/relationships" r:embed="rId14"/>
            <a:srcRect/>
            <a:stretch>
              <a:fillRect/>
            </a:stretch>
          </xdr:blipFill>
          <xdr:spPr bwMode="auto">
            <a:xfrm>
              <a:off x="1280081" y="1871737"/>
              <a:ext cx="4118428" cy="77842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mc:Choice>
    <mc:Fallback/>
  </mc:AlternateContent>
  <xdr:twoCellAnchor editAs="absolute">
    <xdr:from>
      <xdr:col>2</xdr:col>
      <xdr:colOff>30239</xdr:colOff>
      <xdr:row>15</xdr:row>
      <xdr:rowOff>18143</xdr:rowOff>
    </xdr:from>
    <xdr:to>
      <xdr:col>8</xdr:col>
      <xdr:colOff>405191</xdr:colOff>
      <xdr:row>25</xdr:row>
      <xdr:rowOff>102809</xdr:rowOff>
    </xdr:to>
    <xdr:graphicFrame macro="">
      <xdr:nvGraphicFramePr>
        <xdr:cNvPr id="43" name="Chart 42">
          <a:extLst>
            <a:ext uri="{FF2B5EF4-FFF2-40B4-BE49-F238E27FC236}">
              <a16:creationId xmlns:a16="http://schemas.microsoft.com/office/drawing/2014/main" id="{3540AD6B-001C-4637-AC4C-63D5A4C1C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247951</xdr:colOff>
      <xdr:row>25</xdr:row>
      <xdr:rowOff>54430</xdr:rowOff>
    </xdr:from>
    <xdr:to>
      <xdr:col>7</xdr:col>
      <xdr:colOff>203501</xdr:colOff>
      <xdr:row>26</xdr:row>
      <xdr:rowOff>143330</xdr:rowOff>
    </xdr:to>
    <xdr:sp macro="" textlink="">
      <xdr:nvSpPr>
        <xdr:cNvPr id="45" name="TextBox 44">
          <a:extLst>
            <a:ext uri="{FF2B5EF4-FFF2-40B4-BE49-F238E27FC236}">
              <a16:creationId xmlns:a16="http://schemas.microsoft.com/office/drawing/2014/main" id="{7CC54C21-01C7-48ED-8FF2-C14A8D42CA11}"/>
            </a:ext>
          </a:extLst>
        </xdr:cNvPr>
        <xdr:cNvSpPr txBox="1"/>
      </xdr:nvSpPr>
      <xdr:spPr>
        <a:xfrm>
          <a:off x="2080380" y="4590144"/>
          <a:ext cx="2398788" cy="270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mn-lt"/>
            </a:rPr>
            <a:t>No.of Patient by age group</a:t>
          </a:r>
        </a:p>
      </xdr:txBody>
    </xdr:sp>
    <xdr:clientData/>
  </xdr:twoCellAnchor>
  <xdr:twoCellAnchor>
    <xdr:from>
      <xdr:col>8</xdr:col>
      <xdr:colOff>604762</xdr:colOff>
      <xdr:row>0</xdr:row>
      <xdr:rowOff>145143</xdr:rowOff>
    </xdr:from>
    <xdr:to>
      <xdr:col>11</xdr:col>
      <xdr:colOff>374952</xdr:colOff>
      <xdr:row>10</xdr:row>
      <xdr:rowOff>145143</xdr:rowOff>
    </xdr:to>
    <xdr:graphicFrame macro="">
      <xdr:nvGraphicFramePr>
        <xdr:cNvPr id="48" name="Chart 47">
          <a:extLst>
            <a:ext uri="{FF2B5EF4-FFF2-40B4-BE49-F238E27FC236}">
              <a16:creationId xmlns:a16="http://schemas.microsoft.com/office/drawing/2014/main" id="{CBE87380-2F56-469D-8FDD-0C3B32A57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9</xdr:col>
      <xdr:colOff>24191</xdr:colOff>
      <xdr:row>9</xdr:row>
      <xdr:rowOff>151192</xdr:rowOff>
    </xdr:from>
    <xdr:to>
      <xdr:col>11</xdr:col>
      <xdr:colOff>344715</xdr:colOff>
      <xdr:row>10</xdr:row>
      <xdr:rowOff>127001</xdr:rowOff>
    </xdr:to>
    <xdr:sp macro="" textlink="">
      <xdr:nvSpPr>
        <xdr:cNvPr id="49" name="TextBox 48">
          <a:extLst>
            <a:ext uri="{FF2B5EF4-FFF2-40B4-BE49-F238E27FC236}">
              <a16:creationId xmlns:a16="http://schemas.microsoft.com/office/drawing/2014/main" id="{B027C4C2-18BE-4AF1-9342-5DBAE699C901}"/>
            </a:ext>
          </a:extLst>
        </xdr:cNvPr>
        <xdr:cNvSpPr txBox="1"/>
      </xdr:nvSpPr>
      <xdr:spPr>
        <a:xfrm>
          <a:off x="5521477" y="1784049"/>
          <a:ext cx="1542143" cy="157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mn-lt"/>
            </a:rPr>
            <a:t>Patient Attend status</a:t>
          </a:r>
        </a:p>
      </xdr:txBody>
    </xdr:sp>
    <xdr:clientData/>
  </xdr:twoCellAnchor>
  <xdr:twoCellAnchor>
    <xdr:from>
      <xdr:col>12</xdr:col>
      <xdr:colOff>0</xdr:colOff>
      <xdr:row>0</xdr:row>
      <xdr:rowOff>157239</xdr:rowOff>
    </xdr:from>
    <xdr:to>
      <xdr:col>14</xdr:col>
      <xdr:colOff>387048</xdr:colOff>
      <xdr:row>11</xdr:row>
      <xdr:rowOff>36287</xdr:rowOff>
    </xdr:to>
    <xdr:graphicFrame macro="">
      <xdr:nvGraphicFramePr>
        <xdr:cNvPr id="50" name="Chart 49">
          <a:extLst>
            <a:ext uri="{FF2B5EF4-FFF2-40B4-BE49-F238E27FC236}">
              <a16:creationId xmlns:a16="http://schemas.microsoft.com/office/drawing/2014/main" id="{FB7F2048-BCD4-4E3A-AA12-A39B48358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11</xdr:col>
      <xdr:colOff>598714</xdr:colOff>
      <xdr:row>9</xdr:row>
      <xdr:rowOff>127000</xdr:rowOff>
    </xdr:from>
    <xdr:to>
      <xdr:col>14</xdr:col>
      <xdr:colOff>308429</xdr:colOff>
      <xdr:row>10</xdr:row>
      <xdr:rowOff>102809</xdr:rowOff>
    </xdr:to>
    <xdr:sp macro="" textlink="">
      <xdr:nvSpPr>
        <xdr:cNvPr id="52" name="TextBox 51">
          <a:extLst>
            <a:ext uri="{FF2B5EF4-FFF2-40B4-BE49-F238E27FC236}">
              <a16:creationId xmlns:a16="http://schemas.microsoft.com/office/drawing/2014/main" id="{812872A3-565E-4789-B609-6D32474A918C}"/>
            </a:ext>
          </a:extLst>
        </xdr:cNvPr>
        <xdr:cNvSpPr txBox="1"/>
      </xdr:nvSpPr>
      <xdr:spPr>
        <a:xfrm>
          <a:off x="7317619" y="1759857"/>
          <a:ext cx="1542143" cy="157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mn-lt"/>
            </a:rPr>
            <a:t>Gender</a:t>
          </a:r>
          <a:r>
            <a:rPr lang="en-IN" sz="1200" b="1" baseline="0">
              <a:latin typeface="+mn-lt"/>
            </a:rPr>
            <a:t> Wise Analysis	</a:t>
          </a:r>
          <a:endParaRPr lang="en-IN" sz="1200" b="1">
            <a:latin typeface="+mn-lt"/>
          </a:endParaRPr>
        </a:p>
      </xdr:txBody>
    </xdr:sp>
    <xdr:clientData/>
  </xdr:twoCellAnchor>
  <xdr:twoCellAnchor editAs="absolute">
    <xdr:from>
      <xdr:col>9</xdr:col>
      <xdr:colOff>96762</xdr:colOff>
      <xdr:row>12</xdr:row>
      <xdr:rowOff>108858</xdr:rowOff>
    </xdr:from>
    <xdr:to>
      <xdr:col>14</xdr:col>
      <xdr:colOff>344715</xdr:colOff>
      <xdr:row>25</xdr:row>
      <xdr:rowOff>36287</xdr:rowOff>
    </xdr:to>
    <xdr:graphicFrame macro="">
      <xdr:nvGraphicFramePr>
        <xdr:cNvPr id="54" name="Chart 53">
          <a:extLst>
            <a:ext uri="{FF2B5EF4-FFF2-40B4-BE49-F238E27FC236}">
              <a16:creationId xmlns:a16="http://schemas.microsoft.com/office/drawing/2014/main" id="{B9211437-FD24-415D-B5E2-5A37AB731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514048</xdr:colOff>
      <xdr:row>25</xdr:row>
      <xdr:rowOff>30238</xdr:rowOff>
    </xdr:from>
    <xdr:to>
      <xdr:col>14</xdr:col>
      <xdr:colOff>501954</xdr:colOff>
      <xdr:row>26</xdr:row>
      <xdr:rowOff>145142</xdr:rowOff>
    </xdr:to>
    <xdr:sp macro="" textlink="">
      <xdr:nvSpPr>
        <xdr:cNvPr id="55" name="TextBox 54">
          <a:extLst>
            <a:ext uri="{FF2B5EF4-FFF2-40B4-BE49-F238E27FC236}">
              <a16:creationId xmlns:a16="http://schemas.microsoft.com/office/drawing/2014/main" id="{9B16DE3B-79BA-4C1D-8578-CA120F46206A}"/>
            </a:ext>
          </a:extLst>
        </xdr:cNvPr>
        <xdr:cNvSpPr txBox="1"/>
      </xdr:nvSpPr>
      <xdr:spPr>
        <a:xfrm>
          <a:off x="6011334" y="4565952"/>
          <a:ext cx="3041953"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1">
              <a:latin typeface="+mn-lt"/>
            </a:rPr>
            <a:t>No.of patient by</a:t>
          </a:r>
          <a:r>
            <a:rPr lang="en-IN" sz="1200" b="1" baseline="0">
              <a:latin typeface="+mn-lt"/>
            </a:rPr>
            <a:t> Department referal	</a:t>
          </a:r>
          <a:endParaRPr lang="en-IN" sz="1200" b="1">
            <a:latin typeface="+mn-lt"/>
          </a:endParaRPr>
        </a:p>
      </xdr:txBody>
    </xdr:sp>
    <xdr:clientData/>
  </xdr:twoCellAnchor>
  <xdr:twoCellAnchor editAs="oneCell">
    <xdr:from>
      <xdr:col>6</xdr:col>
      <xdr:colOff>332619</xdr:colOff>
      <xdr:row>1</xdr:row>
      <xdr:rowOff>24189</xdr:rowOff>
    </xdr:from>
    <xdr:to>
      <xdr:col>8</xdr:col>
      <xdr:colOff>429381</xdr:colOff>
      <xdr:row>3</xdr:row>
      <xdr:rowOff>66524</xdr:rowOff>
    </xdr:to>
    <mc:AlternateContent xmlns:mc="http://schemas.openxmlformats.org/markup-compatibility/2006" xmlns:a14="http://schemas.microsoft.com/office/drawing/2010/main">
      <mc:Choice Requires="a14">
        <xdr:graphicFrame macro="">
          <xdr:nvGraphicFramePr>
            <xdr:cNvPr id="10" name="Date (Year)">
              <a:extLst>
                <a:ext uri="{FF2B5EF4-FFF2-40B4-BE49-F238E27FC236}">
                  <a16:creationId xmlns:a16="http://schemas.microsoft.com/office/drawing/2014/main" id="{6CA8A2FE-0F70-442F-A10A-A03A739F3F1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973286" y="207633"/>
              <a:ext cx="1310317" cy="409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279400</xdr:colOff>
      <xdr:row>5</xdr:row>
      <xdr:rowOff>19050</xdr:rowOff>
    </xdr:from>
    <xdr:to>
      <xdr:col>13</xdr:col>
      <xdr:colOff>146050</xdr:colOff>
      <xdr:row>20</xdr:row>
      <xdr:rowOff>139700</xdr:rowOff>
    </xdr:to>
    <xdr:graphicFrame macro="">
      <xdr:nvGraphicFramePr>
        <xdr:cNvPr id="2" name="Chart 1">
          <a:extLst>
            <a:ext uri="{FF2B5EF4-FFF2-40B4-BE49-F238E27FC236}">
              <a16:creationId xmlns:a16="http://schemas.microsoft.com/office/drawing/2014/main" id="{E315CEB5-39EE-46B6-86B2-98FE2A05B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0.00773</cdr:x>
      <cdr:y>0.01762</cdr:y>
    </cdr:from>
    <cdr:to>
      <cdr:x>0.11498</cdr:x>
      <cdr:y>0.26211</cdr:y>
    </cdr:to>
    <cdr:pic>
      <cdr:nvPicPr>
        <cdr:cNvPr id="4"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5B8FD3B-6ABE-F6A0-2BA2-65E5D23C145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704850" cy="70485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76200</xdr:colOff>
      <xdr:row>1</xdr:row>
      <xdr:rowOff>25400</xdr:rowOff>
    </xdr:from>
    <xdr:to>
      <xdr:col>15</xdr:col>
      <xdr:colOff>196850</xdr:colOff>
      <xdr:row>20</xdr:row>
      <xdr:rowOff>63500</xdr:rowOff>
    </xdr:to>
    <xdr:graphicFrame macro="">
      <xdr:nvGraphicFramePr>
        <xdr:cNvPr id="2" name="Chart 1">
          <a:extLst>
            <a:ext uri="{FF2B5EF4-FFF2-40B4-BE49-F238E27FC236}">
              <a16:creationId xmlns:a16="http://schemas.microsoft.com/office/drawing/2014/main" id="{F50489CB-868F-489F-9D03-3371BA0CD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0.07608</cdr:x>
      <cdr:y>0.19928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75C5F3E-F036-EDF1-40AA-FCA9654FEFF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704850" cy="70485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196850</xdr:colOff>
      <xdr:row>2</xdr:row>
      <xdr:rowOff>177800</xdr:rowOff>
    </xdr:from>
    <xdr:to>
      <xdr:col>13</xdr:col>
      <xdr:colOff>342900</xdr:colOff>
      <xdr:row>24</xdr:row>
      <xdr:rowOff>44450</xdr:rowOff>
    </xdr:to>
    <xdr:graphicFrame macro="">
      <xdr:nvGraphicFramePr>
        <xdr:cNvPr id="3" name="Chart 2">
          <a:extLst>
            <a:ext uri="{FF2B5EF4-FFF2-40B4-BE49-F238E27FC236}">
              <a16:creationId xmlns:a16="http://schemas.microsoft.com/office/drawing/2014/main" id="{BCA57D7D-BCA0-4E36-A837-ABC4CF7A1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0.00629</cdr:x>
      <cdr:y>0.01297</cdr:y>
    </cdr:from>
    <cdr:to>
      <cdr:x>0.09363</cdr:x>
      <cdr:y>0.19287</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64DCC69-C9A6-2F74-08BA-195AE69D7A6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704850" cy="7048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ol patil" refreshedDate="46073.648459606484" createdVersion="5" refreshedVersion="8" minRefreshableVersion="3" recordCount="0" supportSubquery="1" supportAdvancedDrill="1" xr:uid="{C8C537DD-E5DE-4E20-9CF1-F901D2E0F798}">
  <cacheSource type="external" connectionId="3"/>
  <cacheFields count="4">
    <cacheField name="[Measures].[Count of Patient Id]" caption="Count of Patient Id" numFmtId="0" hierarchy="23" level="32767"/>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time]" caption="Count of Patient attend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ol patil" refreshedDate="46073.648460879631" createdVersion="5" refreshedVersion="8" minRefreshableVersion="3" recordCount="0" supportSubquery="1" supportAdvancedDrill="1" xr:uid="{8717F41F-D2B0-44B1-85A5-6A0312171EDB}">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time]" caption="Count of Patient attend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ol patil" refreshedDate="46073.648461458331" createdVersion="5" refreshedVersion="8" minRefreshableVersion="3" recordCount="0" supportSubquery="1" supportAdvancedDrill="1" xr:uid="{04FA80D3-DE4F-4971-9487-196F2A3027CB}">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time]" caption="Count of Patient attend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ol patil" refreshedDate="46073.648462037039" createdVersion="5" refreshedVersion="8" minRefreshableVersion="3" recordCount="0" supportSubquery="1" supportAdvancedDrill="1" xr:uid="{BB64D02D-D6A6-4642-8BB8-F528E344046E}">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time]" caption="Count of Patient attend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ol patil" refreshedDate="46073.648463078702" createdVersion="5" refreshedVersion="8" minRefreshableVersion="3" recordCount="0" supportSubquery="1" supportAdvancedDrill="1" xr:uid="{A827AE97-1E42-43BF-A300-6046D96C1574}">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time]" caption="Count of Patient attend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ol patil" refreshedDate="46073.64846423611" createdVersion="5" refreshedVersion="8" minRefreshableVersion="3" recordCount="0" supportSubquery="1" supportAdvancedDrill="1" xr:uid="{D9AA3EB1-938E-4516-891D-90157E30E9CA}">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time]" caption="Count of Patient attend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ol patil" refreshedDate="46073.64846527778" createdVersion="5" refreshedVersion="8" minRefreshableVersion="3" recordCount="0" supportSubquery="1" supportAdvancedDrill="1" xr:uid="{42613F5F-2BE6-41CD-9DA0-8C5FE1057E18}">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dimited"/>
        <s v="not addmi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time]" caption="Count of Patient attend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ol patil" refreshedDate="46073.648469328706" createdVersion="5" refreshedVersion="8" minRefreshableVersion="3" recordCount="0" supportSubquery="1" supportAdvancedDrill="1" xr:uid="{D2D11D84-8706-420C-AFBB-DCB5122E95B1}">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time]" caption="Count of Patient attend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ol patil" refreshedDate="46073.648470138891" createdVersion="5" refreshedVersion="8" minRefreshableVersion="3" recordCount="0" supportSubquery="1" supportAdvancedDrill="1" xr:uid="{EBB406A2-EC56-4FBE-8746-44F5F713EA21}">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time].[Patient attend time]" caption="Patient attend time" numFmtId="0" hierarchy="17" level="1">
      <sharedItems count="2">
        <s v="Delay"/>
        <s v="Ontime"/>
      </sharedItems>
    </cacheField>
    <cacheField name="[Measures].[Count of Patient attend time]" caption="Count of Patient attend time"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time]" caption="Count of Patient attend 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ol patil" refreshedDate="46073.648473148147" createdVersion="5" refreshedVersion="8" minRefreshableVersion="3" recordCount="0" supportSubquery="1" supportAdvancedDrill="1" xr:uid="{B5E4C560-97E3-4B77-909B-7363D820DB95}">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time]" caption="Count of Patient attend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ol patil" refreshedDate="46073.648473958332" createdVersion="5" refreshedVersion="8" minRefreshableVersion="3" recordCount="0" supportSubquery="1" supportAdvancedDrill="1" xr:uid="{7C7C6EA6-6846-4BFC-BBA4-2BFBBBDB4533}">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time]" caption="Count of Patient attend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ol patil" refreshedDate="46073.648474884256" createdVersion="5" refreshedVersion="8" minRefreshableVersion="3" recordCount="0" supportSubquery="1" supportAdvancedDrill="1" xr:uid="{EE94EAA4-E960-4C1E-B7C2-B3FF3C2F12D6}">
  <cacheSource type="external" connectionId="3"/>
  <cacheFields count="4">
    <cacheField name="[Calendar_table].[Date (Month)].[Date (Month)]" caption="Date (Month)" numFmtId="0" hierarchy="1" level="1">
      <sharedItems count="1">
        <s v="Feb"/>
      </sharedItems>
    </cacheField>
    <cacheField name="[Calenda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time]" caption="Count of Patient attend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bodke" refreshedDate="46031.712141550925" createdVersion="3" refreshedVersion="8" minRefreshableVersion="3" recordCount="0" supportSubquery="1" supportAdvancedDrill="1" xr:uid="{B95D21D2-E652-421E-898C-12D703F8C3B7}">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ull Name]" caption="Patient Full Name" attribute="1" defaultMemberUniqueName="[Hospital Emergency Room Data].[Patient Full Name].[All]" allUniqueName="[Hospital Emergency Room Data].[Patient Full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time]" caption="Patient attend time" attribute="1" defaultMemberUniqueName="[Hospital Emergency Room Data].[Patient attend time].[All]" allUniqueName="[Hospital Emergency Room Data].[Patient attend time].[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time]" caption="Count of Patient attend time"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867937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D07D4B-6E10-4997-A55D-9A4A06F00AB7}" name="PivotTable8" cacheId="33" applyNumberFormats="0" applyBorderFormats="0" applyFontFormats="0" applyPatternFormats="0" applyAlignmentFormats="0" applyWidthHeightFormats="1" dataCaption="Values" tag="77ff5e69-3ad1-4568-ac0d-da29b20de950" updatedVersion="8" minRefreshableVersion="3" subtotalHiddenItems="1" itemPrintTitles="1" createdVersion="5" indent="0" outline="1" outlineData="1" multipleFieldFilters="0" chartFormat="9">
  <location ref="A16:C19"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2">
      <pivotArea outline="0" collapsedLevelsAreSubtotals="1" fieldPosition="0"/>
    </format>
    <format dxfId="11">
      <pivotArea outline="0" fieldPosition="0">
        <references count="1">
          <reference field="4294967294" count="1">
            <x v="1"/>
          </reference>
        </references>
      </pivotArea>
    </format>
  </format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1"/>
          </reference>
          <reference field="1" count="1" selected="0">
            <x v="1"/>
          </reference>
        </references>
      </pivotArea>
    </chartFormat>
    <chartFormat chart="6" format="3">
      <pivotArea type="data" outline="0" fieldPosition="0">
        <references count="2">
          <reference field="4294967294" count="1" selected="0">
            <x v="1"/>
          </reference>
          <reference field="1" count="1" selected="0">
            <x v="0"/>
          </reference>
        </references>
      </pivotArea>
    </chartFormat>
    <chartFormat chart="6" format="4">
      <pivotArea type="data" outline="0" fieldPosition="0">
        <references count="2">
          <reference field="4294967294" count="1" selected="0">
            <x v="0"/>
          </reference>
          <reference field="1" count="1" selected="0">
            <x v="0"/>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FAFE5F-ADE3-4950-B11C-781E430CA7F2}" name="PivotTable12" cacheId="45" applyNumberFormats="0" applyBorderFormats="0" applyFontFormats="0" applyPatternFormats="0" applyAlignmentFormats="0" applyWidthHeightFormats="1" dataCaption="Values" tag="abbf7481-46d5-4c51-8eae-c7c440fe7079" updatedVersion="8" minRefreshableVersion="3" subtotalHiddenItems="1" itemPrintTitles="1" createdVersion="5" indent="0" outline="1" outlineData="1" multipleFieldFilters="0" chartFormat="37">
  <location ref="H69:I7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1">
    <format dxfId="13">
      <pivotArea outline="0" collapsedLevelsAreSubtotals="1" fieldPosition="0"/>
    </format>
  </formats>
  <chartFormats count="2">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B0EF2E-A093-41FF-84D6-AF1BBB3F65F7}" name="PivotTable11" cacheId="42" applyNumberFormats="0" applyBorderFormats="0" applyFontFormats="0" applyPatternFormats="0" applyAlignmentFormats="0" applyWidthHeightFormats="1" dataCaption="Values" tag="e13e0650-5491-4034-bdd8-2a906f58e5fd" updatedVersion="8" minRefreshableVersion="3" subtotalHiddenItems="1" itemPrintTitles="1" createdVersion="5" indent="0" outline="1" outlineData="1" multipleFieldFilters="0" chartFormat="34">
  <location ref="H61:I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4">
      <pivotArea outline="0" collapsedLevelsAreSubtotals="1" fieldPosition="0"/>
    </format>
  </formats>
  <chartFormats count="3">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1" count="1" selected="0">
            <x v="0"/>
          </reference>
        </references>
      </pivotArea>
    </chartFormat>
    <chartFormat chart="2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AE8DB6-E7B2-4A8B-8F26-D060D95B3BF8}" name="PivotTable2" cacheId="15" applyNumberFormats="0" applyBorderFormats="0" applyFontFormats="0" applyPatternFormats="0" applyAlignmentFormats="0" applyWidthHeightFormats="1" dataCaption="Values" tag="0be5a8cb-0ab8-4a18-a765-5b67785ead36" updatedVersion="8" minRefreshableVersion="3" useAutoFormatting="1" subtotalHiddenItems="1" itemPrintTitles="1" createdVersion="5" indent="0" outline="1" outlineData="1" multipleFieldFilters="0" chartFormat="11">
  <location ref="D8:E39"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0" subtotal="count" baseField="0" baseItem="0"/>
  </dataFields>
  <chartFormats count="2">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7C6517-04D0-46BD-A600-A86AAD07CF3E}" name="PivotTable5" cacheId="24" applyNumberFormats="0" applyBorderFormats="0" applyFontFormats="0" applyPatternFormats="0" applyAlignmentFormats="0" applyWidthHeightFormats="1" dataCaption="Values" tag="e040d1de-0db7-472b-b957-c3fadae6d2fa"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5">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407FCD-DF83-4331-BD0F-10AC7181DF8E}" name="PivotTable7" cacheId="30" applyNumberFormats="0" applyBorderFormats="0" applyFontFormats="0" applyPatternFormats="0" applyAlignmentFormats="0" applyWidthHeightFormats="1" dataCaption="Values" tag="1f417d5c-49f2-40a8-8ad6-865ace171808" updatedVersion="8" minRefreshableVersion="3" useAutoFormatting="1" subtotalHiddenItems="1" itemPrintTitles="1" createdVersion="5" indent="0" outline="1" outlineData="1" multipleFieldFilters="0" chartFormat="35">
  <location ref="J8:K39"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6">
      <pivotArea outline="0" collapsedLevelsAreSubtotals="1" fieldPosition="0"/>
    </format>
  </formats>
  <chartFormats count="2">
    <chartFormat chart="22"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0E73D4-51DD-4244-AF2F-085E79178470}" name="PivotTable9" cacheId="36" applyNumberFormats="0" applyBorderFormats="0" applyFontFormats="0" applyPatternFormats="0" applyAlignmentFormats="0" applyWidthHeightFormats="1" dataCaption="Values" tag="614985cb-c3c9-4314-b793-2255b8509143" updatedVersion="8" minRefreshableVersion="3" subtotalHiddenItems="1" itemPrintTitles="1" createdVersion="5" indent="0" outline="1" outlineData="1" multipleFieldFilters="0" chartFormat="13">
  <location ref="E53:F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7">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7B09E0-56F9-49AD-9FCE-B07F5154AD7E}" name="PivotTable1" cacheId="48" applyNumberFormats="0" applyBorderFormats="0" applyFontFormats="0" applyPatternFormats="0" applyAlignmentFormats="0" applyWidthHeightFormats="1" dataCaption="Values" tag="e13e0650-5491-4034-bdd8-2a906f58e5fd" updatedVersion="8" minRefreshableVersion="3" subtotalHiddenItems="1" itemPrintTitles="1" createdVersion="5" indent="0" outline="1" outlineData="1" multipleFieldFilters="0" chartFormat="34">
  <location ref="D68:D70"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8">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2A2E8D-A297-4BE6-A4BB-A8ADC269C719}" name="PivotTable6" cacheId="27" applyNumberFormats="0" applyBorderFormats="0" applyFontFormats="0" applyPatternFormats="0" applyAlignmentFormats="0" applyWidthHeightFormats="1" dataCaption="Values" tag="fb185e66-59bd-40b4-a517-2512e7e2f940" updatedVersion="8" minRefreshableVersion="3" useAutoFormatting="1" subtotalHiddenItems="1" itemPrintTitles="1" createdVersion="5" indent="0" outline="1" outlineData="1" multipleFieldFilters="0" chartFormat="20">
  <location ref="G8:H39"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9">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AD452C-A952-4893-9A24-45F12A8DF0E7}" name="PivotTable10" cacheId="39" applyNumberFormats="0" applyBorderFormats="0" applyFontFormats="0" applyPatternFormats="0" applyAlignmentFormats="0" applyWidthHeightFormats="1" dataCaption="Values" tag="712f024a-5644-49f6-943c-a313d1d2093b" updatedVersion="8" minRefreshableVersion="3" subtotalHiddenItems="1" itemPrintTitles="1" createdVersion="5" indent="0" outline="1" outlineData="1" multipleFieldFilters="0" chartFormat="26">
  <location ref="H53:I5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time" fld="2" subtotal="count" baseField="0" baseItem="0"/>
  </dataFields>
  <formats count="1">
    <format dxfId="20">
      <pivotArea outline="0" collapsedLevelsAreSubtotals="1" fieldPosition="0"/>
    </format>
  </format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1" count="1" selected="0">
            <x v="0"/>
          </reference>
        </references>
      </pivotArea>
    </chartFormat>
    <chartFormat chart="24"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0BDF2A-6032-40EE-9AFC-DB03E4F5FCB0}" name="PivotTable4" cacheId="21" applyNumberFormats="0" applyBorderFormats="0" applyFontFormats="0" applyPatternFormats="0" applyAlignmentFormats="0" applyWidthHeightFormats="1" dataCaption="Values" tag="f3338809-c5bc-4353-9652-165e1f071e0c"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1">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97C97D3-8CE4-417E-A2D6-50B9B6DC4F3E}" name="PivotTable3" cacheId="18" applyNumberFormats="0" applyBorderFormats="0" applyFontFormats="0" applyPatternFormats="0" applyAlignmentFormats="0" applyWidthHeightFormats="1" dataCaption="Values" tag="f1e96dc0-e0f3-40e0-8967-41eead213978"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F3111C4-8609-456A-86E8-BAB3D769DF56}" sourceName="[Calendar_table].[Date (Month)]">
  <pivotTables>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 tabId="1" name="PivotTable1"/>
  </pivotTables>
  <data>
    <olap pivotCacheId="1686793720">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68EBDC6-289D-4A83-A67F-C148313CE993}" sourceName="[Calendar_table].[Date (Year)]">
  <pivotTables>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8679372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54A3925-37FE-4FA4-B8CC-856CA690AC5D}" cache="Slicer_Date__Month" caption="Date (Month)" showCaption="0" level="1" style="My style" rowHeight="288000"/>
  <slicer name="Date (Year)" xr10:uid="{B5624DFE-EDE5-404B-9B4A-2631CBB5C606}" cache="Slicer_Date__Year" caption="Date (Year)" columnCount="2" showCaption="0" level="1" style="My style"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00CD8-B085-4439-95B2-515CDACEC799}">
  <dimension ref="A3:K78"/>
  <sheetViews>
    <sheetView topLeftCell="B55" workbookViewId="0">
      <selection activeCell="D68" sqref="D68"/>
    </sheetView>
  </sheetViews>
  <sheetFormatPr defaultRowHeight="14.4" x14ac:dyDescent="0.3"/>
  <cols>
    <col min="1" max="1" width="31.88671875" bestFit="1" customWidth="1"/>
    <col min="2" max="2" width="12.21875" customWidth="1"/>
    <col min="3" max="3" width="8.77734375" customWidth="1"/>
    <col min="4" max="4" width="12.5546875" bestFit="1" customWidth="1"/>
    <col min="5" max="5" width="17" bestFit="1" customWidth="1"/>
    <col min="6" max="6" width="15.21875" bestFit="1" customWidth="1"/>
    <col min="7" max="7" width="12.5546875" bestFit="1" customWidth="1"/>
    <col min="8" max="8" width="25" bestFit="1" customWidth="1"/>
    <col min="9" max="9" width="15.21875" bestFit="1" customWidth="1"/>
    <col min="10" max="10" width="12.5546875" bestFit="1" customWidth="1"/>
    <col min="11" max="11" width="32.44140625" bestFit="1" customWidth="1"/>
    <col min="12" max="734" width="15.21875" bestFit="1" customWidth="1"/>
    <col min="735" max="735" width="10.77734375" bestFit="1" customWidth="1"/>
  </cols>
  <sheetData>
    <row r="3" spans="1:11" x14ac:dyDescent="0.3">
      <c r="A3" t="s">
        <v>1</v>
      </c>
    </row>
    <row r="4" spans="1:11" x14ac:dyDescent="0.3">
      <c r="A4" t="s">
        <v>0</v>
      </c>
    </row>
    <row r="5" spans="1:11" x14ac:dyDescent="0.3">
      <c r="A5" s="16">
        <v>506</v>
      </c>
    </row>
    <row r="7" spans="1:11" x14ac:dyDescent="0.3">
      <c r="D7" t="s">
        <v>7</v>
      </c>
      <c r="G7" t="s">
        <v>8</v>
      </c>
      <c r="J7" t="s">
        <v>9</v>
      </c>
    </row>
    <row r="8" spans="1:11" x14ac:dyDescent="0.3">
      <c r="A8" t="s">
        <v>2</v>
      </c>
      <c r="D8" s="4" t="s">
        <v>5</v>
      </c>
      <c r="E8" t="s">
        <v>6</v>
      </c>
      <c r="G8" s="4" t="s">
        <v>5</v>
      </c>
      <c r="H8" t="s">
        <v>2</v>
      </c>
      <c r="J8" s="4" t="s">
        <v>5</v>
      </c>
      <c r="K8" t="s">
        <v>3</v>
      </c>
    </row>
    <row r="9" spans="1:11" x14ac:dyDescent="0.3">
      <c r="A9" s="1">
        <v>35.581027667984188</v>
      </c>
      <c r="D9" s="5" t="s">
        <v>45</v>
      </c>
      <c r="E9" s="16">
        <v>26</v>
      </c>
      <c r="G9" s="5" t="s">
        <v>45</v>
      </c>
      <c r="H9" s="1">
        <v>34.884615384615387</v>
      </c>
      <c r="J9" s="5" t="s">
        <v>45</v>
      </c>
      <c r="K9" s="1">
        <v>4.8</v>
      </c>
    </row>
    <row r="10" spans="1:11" x14ac:dyDescent="0.3">
      <c r="D10" s="5" t="s">
        <v>46</v>
      </c>
      <c r="E10" s="16">
        <v>17</v>
      </c>
      <c r="G10" s="5" t="s">
        <v>46</v>
      </c>
      <c r="H10" s="1">
        <v>34.941176470588232</v>
      </c>
      <c r="J10" s="5" t="s">
        <v>46</v>
      </c>
      <c r="K10" s="1">
        <v>5.333333333333333</v>
      </c>
    </row>
    <row r="11" spans="1:11" x14ac:dyDescent="0.3">
      <c r="D11" s="5" t="s">
        <v>47</v>
      </c>
      <c r="E11" s="16">
        <v>19</v>
      </c>
      <c r="G11" s="5" t="s">
        <v>47</v>
      </c>
      <c r="H11" s="1">
        <v>32.736842105263158</v>
      </c>
      <c r="J11" s="5" t="s">
        <v>47</v>
      </c>
      <c r="K11" s="1">
        <v>6.666666666666667</v>
      </c>
    </row>
    <row r="12" spans="1:11" x14ac:dyDescent="0.3">
      <c r="A12" t="s">
        <v>3</v>
      </c>
      <c r="D12" s="5" t="s">
        <v>48</v>
      </c>
      <c r="E12" s="16">
        <v>17</v>
      </c>
      <c r="G12" s="5" t="s">
        <v>48</v>
      </c>
      <c r="H12" s="1">
        <v>34.411764705882355</v>
      </c>
      <c r="J12" s="5" t="s">
        <v>48</v>
      </c>
      <c r="K12" s="1">
        <v>4.5555555555555554</v>
      </c>
    </row>
    <row r="13" spans="1:11" x14ac:dyDescent="0.3">
      <c r="A13" s="1">
        <v>5.1818181818181817</v>
      </c>
      <c r="D13" s="5" t="s">
        <v>49</v>
      </c>
      <c r="E13" s="16">
        <v>18</v>
      </c>
      <c r="G13" s="5" t="s">
        <v>49</v>
      </c>
      <c r="H13" s="1">
        <v>34.388888888888886</v>
      </c>
      <c r="J13" s="5" t="s">
        <v>49</v>
      </c>
      <c r="K13" s="1">
        <v>4.333333333333333</v>
      </c>
    </row>
    <row r="14" spans="1:11" x14ac:dyDescent="0.3">
      <c r="D14" s="5" t="s">
        <v>50</v>
      </c>
      <c r="E14" s="16">
        <v>17</v>
      </c>
      <c r="G14" s="5" t="s">
        <v>50</v>
      </c>
      <c r="H14" s="1">
        <v>33.294117647058826</v>
      </c>
      <c r="J14" s="5" t="s">
        <v>50</v>
      </c>
      <c r="K14" s="1">
        <v>7.333333333333333</v>
      </c>
    </row>
    <row r="15" spans="1:11" x14ac:dyDescent="0.3">
      <c r="D15" s="5" t="s">
        <v>51</v>
      </c>
      <c r="E15" s="16">
        <v>17</v>
      </c>
      <c r="G15" s="5" t="s">
        <v>51</v>
      </c>
      <c r="H15" s="1">
        <v>35</v>
      </c>
      <c r="J15" s="5" t="s">
        <v>51</v>
      </c>
      <c r="K15" s="1">
        <v>5.25</v>
      </c>
    </row>
    <row r="16" spans="1:11" x14ac:dyDescent="0.3">
      <c r="A16" s="4" t="s">
        <v>5</v>
      </c>
      <c r="B16" t="s">
        <v>12</v>
      </c>
      <c r="C16" t="s">
        <v>13</v>
      </c>
      <c r="D16" s="5" t="s">
        <v>52</v>
      </c>
      <c r="E16" s="16">
        <v>19</v>
      </c>
      <c r="G16" s="5" t="s">
        <v>52</v>
      </c>
      <c r="H16" s="1">
        <v>36.736842105263158</v>
      </c>
      <c r="J16" s="5" t="s">
        <v>52</v>
      </c>
      <c r="K16" s="1">
        <v>6.333333333333333</v>
      </c>
    </row>
    <row r="17" spans="1:11" x14ac:dyDescent="0.3">
      <c r="A17" s="5" t="s">
        <v>10</v>
      </c>
      <c r="B17" s="8">
        <v>252</v>
      </c>
      <c r="C17" s="9">
        <v>0.49802371541501977</v>
      </c>
      <c r="D17" s="5" t="s">
        <v>53</v>
      </c>
      <c r="E17" s="16">
        <v>19</v>
      </c>
      <c r="G17" s="5" t="s">
        <v>53</v>
      </c>
      <c r="H17" s="1">
        <v>37.368421052631582</v>
      </c>
      <c r="J17" s="5" t="s">
        <v>53</v>
      </c>
      <c r="K17" s="1">
        <v>5.7142857142857144</v>
      </c>
    </row>
    <row r="18" spans="1:11" x14ac:dyDescent="0.3">
      <c r="A18" s="5" t="s">
        <v>11</v>
      </c>
      <c r="B18" s="8">
        <v>254</v>
      </c>
      <c r="C18" s="9">
        <v>0.50197628458498023</v>
      </c>
      <c r="D18" s="5" t="s">
        <v>54</v>
      </c>
      <c r="E18" s="16">
        <v>14</v>
      </c>
      <c r="G18" s="5" t="s">
        <v>54</v>
      </c>
      <c r="H18" s="1">
        <v>31.428571428571427</v>
      </c>
      <c r="J18" s="5" t="s">
        <v>54</v>
      </c>
      <c r="K18" s="1">
        <v>5</v>
      </c>
    </row>
    <row r="19" spans="1:11" x14ac:dyDescent="0.3">
      <c r="A19" s="5" t="s">
        <v>4</v>
      </c>
      <c r="B19" s="8">
        <v>506</v>
      </c>
      <c r="C19" s="9">
        <v>1</v>
      </c>
      <c r="D19" s="5" t="s">
        <v>55</v>
      </c>
      <c r="E19" s="16">
        <v>17</v>
      </c>
      <c r="G19" s="5" t="s">
        <v>55</v>
      </c>
      <c r="H19" s="1">
        <v>45.470588235294116</v>
      </c>
      <c r="J19" s="5" t="s">
        <v>55</v>
      </c>
      <c r="K19" s="1">
        <v>6.166666666666667</v>
      </c>
    </row>
    <row r="20" spans="1:11" x14ac:dyDescent="0.3">
      <c r="D20" s="5" t="s">
        <v>56</v>
      </c>
      <c r="E20" s="16">
        <v>20</v>
      </c>
      <c r="G20" s="5" t="s">
        <v>56</v>
      </c>
      <c r="H20" s="1">
        <v>32.549999999999997</v>
      </c>
      <c r="J20" s="5" t="s">
        <v>56</v>
      </c>
      <c r="K20" s="1">
        <v>3</v>
      </c>
    </row>
    <row r="21" spans="1:11" x14ac:dyDescent="0.3">
      <c r="A21" s="5"/>
      <c r="D21" s="5" t="s">
        <v>57</v>
      </c>
      <c r="E21" s="16">
        <v>13</v>
      </c>
      <c r="G21" s="5" t="s">
        <v>57</v>
      </c>
      <c r="H21" s="1">
        <v>39.615384615384613</v>
      </c>
      <c r="J21" s="5" t="s">
        <v>57</v>
      </c>
      <c r="K21" s="1">
        <v>4.5</v>
      </c>
    </row>
    <row r="22" spans="1:11" x14ac:dyDescent="0.3">
      <c r="D22" s="5" t="s">
        <v>58</v>
      </c>
      <c r="E22" s="16">
        <v>14</v>
      </c>
      <c r="G22" s="5" t="s">
        <v>58</v>
      </c>
      <c r="H22" s="1">
        <v>36</v>
      </c>
      <c r="J22" s="5" t="s">
        <v>58</v>
      </c>
      <c r="K22" s="1">
        <v>4.666666666666667</v>
      </c>
    </row>
    <row r="23" spans="1:11" x14ac:dyDescent="0.3">
      <c r="D23" s="5" t="s">
        <v>59</v>
      </c>
      <c r="E23" s="16">
        <v>15</v>
      </c>
      <c r="G23" s="5" t="s">
        <v>59</v>
      </c>
      <c r="H23" s="1">
        <v>31.6</v>
      </c>
      <c r="J23" s="5" t="s">
        <v>59</v>
      </c>
      <c r="K23" s="1">
        <v>9</v>
      </c>
    </row>
    <row r="24" spans="1:11" x14ac:dyDescent="0.3">
      <c r="D24" s="5" t="s">
        <v>60</v>
      </c>
      <c r="E24" s="16">
        <v>13</v>
      </c>
      <c r="G24" s="5" t="s">
        <v>60</v>
      </c>
      <c r="H24" s="1">
        <v>33.846153846153847</v>
      </c>
      <c r="J24" s="5" t="s">
        <v>60</v>
      </c>
      <c r="K24" s="1">
        <v>1.5</v>
      </c>
    </row>
    <row r="25" spans="1:11" x14ac:dyDescent="0.3">
      <c r="D25" s="5" t="s">
        <v>61</v>
      </c>
      <c r="E25" s="16">
        <v>15</v>
      </c>
      <c r="G25" s="5" t="s">
        <v>61</v>
      </c>
      <c r="H25" s="1">
        <v>31.8</v>
      </c>
      <c r="J25" s="5" t="s">
        <v>61</v>
      </c>
      <c r="K25" s="1">
        <v>6.8</v>
      </c>
    </row>
    <row r="26" spans="1:11" x14ac:dyDescent="0.3">
      <c r="D26" s="5" t="s">
        <v>62</v>
      </c>
      <c r="E26" s="16">
        <v>17</v>
      </c>
      <c r="G26" s="5" t="s">
        <v>62</v>
      </c>
      <c r="H26" s="1">
        <v>36</v>
      </c>
      <c r="J26" s="5" t="s">
        <v>62</v>
      </c>
      <c r="K26" s="1">
        <v>4.625</v>
      </c>
    </row>
    <row r="27" spans="1:11" x14ac:dyDescent="0.3">
      <c r="D27" s="5" t="s">
        <v>63</v>
      </c>
      <c r="E27" s="16">
        <v>10</v>
      </c>
      <c r="G27" s="5" t="s">
        <v>63</v>
      </c>
      <c r="H27" s="1">
        <v>29.8</v>
      </c>
      <c r="J27" s="5" t="s">
        <v>63</v>
      </c>
      <c r="K27" s="1">
        <v>4.333333333333333</v>
      </c>
    </row>
    <row r="28" spans="1:11" x14ac:dyDescent="0.3">
      <c r="D28" s="5" t="s">
        <v>64</v>
      </c>
      <c r="E28" s="16">
        <v>13</v>
      </c>
      <c r="G28" s="5" t="s">
        <v>64</v>
      </c>
      <c r="H28" s="1">
        <v>41.307692307692307</v>
      </c>
      <c r="J28" s="5" t="s">
        <v>64</v>
      </c>
      <c r="K28" s="1">
        <v>1.3333333333333333</v>
      </c>
    </row>
    <row r="29" spans="1:11" x14ac:dyDescent="0.3">
      <c r="D29" s="5" t="s">
        <v>65</v>
      </c>
      <c r="E29" s="16">
        <v>17</v>
      </c>
      <c r="G29" s="5" t="s">
        <v>65</v>
      </c>
      <c r="H29" s="1">
        <v>29.764705882352942</v>
      </c>
      <c r="J29" s="5" t="s">
        <v>65</v>
      </c>
      <c r="K29" s="1">
        <v>5</v>
      </c>
    </row>
    <row r="30" spans="1:11" x14ac:dyDescent="0.3">
      <c r="D30" s="5" t="s">
        <v>66</v>
      </c>
      <c r="E30" s="16">
        <v>26</v>
      </c>
      <c r="G30" s="5" t="s">
        <v>66</v>
      </c>
      <c r="H30" s="1">
        <v>37.92307692307692</v>
      </c>
      <c r="J30" s="5" t="s">
        <v>66</v>
      </c>
      <c r="K30" s="1">
        <v>3.1666666666666665</v>
      </c>
    </row>
    <row r="31" spans="1:11" x14ac:dyDescent="0.3">
      <c r="D31" s="5" t="s">
        <v>67</v>
      </c>
      <c r="E31" s="16">
        <v>8</v>
      </c>
      <c r="G31" s="5" t="s">
        <v>67</v>
      </c>
      <c r="H31" s="1">
        <v>38.625</v>
      </c>
      <c r="J31" s="5" t="s">
        <v>67</v>
      </c>
      <c r="K31" s="1">
        <v>7.5</v>
      </c>
    </row>
    <row r="32" spans="1:11" x14ac:dyDescent="0.3">
      <c r="D32" s="5" t="s">
        <v>68</v>
      </c>
      <c r="E32" s="16">
        <v>17</v>
      </c>
      <c r="G32" s="5" t="s">
        <v>68</v>
      </c>
      <c r="H32" s="1">
        <v>41.470588235294116</v>
      </c>
      <c r="J32" s="5" t="s">
        <v>68</v>
      </c>
      <c r="K32" s="1">
        <v>4.2</v>
      </c>
    </row>
    <row r="33" spans="1:11" x14ac:dyDescent="0.3">
      <c r="D33" s="5" t="s">
        <v>69</v>
      </c>
      <c r="E33" s="16">
        <v>18</v>
      </c>
      <c r="G33" s="5" t="s">
        <v>69</v>
      </c>
      <c r="H33" s="1">
        <v>39.5</v>
      </c>
      <c r="J33" s="5" t="s">
        <v>69</v>
      </c>
      <c r="K33" s="1">
        <v>4.625</v>
      </c>
    </row>
    <row r="34" spans="1:11" x14ac:dyDescent="0.3">
      <c r="D34" s="5" t="s">
        <v>70</v>
      </c>
      <c r="E34" s="16">
        <v>19</v>
      </c>
      <c r="G34" s="5" t="s">
        <v>70</v>
      </c>
      <c r="H34" s="1">
        <v>29.736842105263158</v>
      </c>
      <c r="J34" s="5" t="s">
        <v>70</v>
      </c>
      <c r="K34" s="1">
        <v>9.6666666666666661</v>
      </c>
    </row>
    <row r="35" spans="1:11" x14ac:dyDescent="0.3">
      <c r="D35" s="5" t="s">
        <v>71</v>
      </c>
      <c r="E35" s="16">
        <v>20</v>
      </c>
      <c r="G35" s="5" t="s">
        <v>71</v>
      </c>
      <c r="H35" s="1">
        <v>37.75</v>
      </c>
      <c r="J35" s="5" t="s">
        <v>71</v>
      </c>
      <c r="K35" s="1">
        <v>6.125</v>
      </c>
    </row>
    <row r="36" spans="1:11" x14ac:dyDescent="0.3">
      <c r="D36" s="5" t="s">
        <v>72</v>
      </c>
      <c r="E36" s="16">
        <v>23</v>
      </c>
      <c r="G36" s="5" t="s">
        <v>72</v>
      </c>
      <c r="H36" s="1">
        <v>37.782608695652172</v>
      </c>
      <c r="J36" s="5" t="s">
        <v>72</v>
      </c>
      <c r="K36" s="1">
        <v>5.5555555555555554</v>
      </c>
    </row>
    <row r="37" spans="1:11" x14ac:dyDescent="0.3">
      <c r="D37" s="5" t="s">
        <v>73</v>
      </c>
      <c r="E37" s="16">
        <v>16</v>
      </c>
      <c r="G37" s="5" t="s">
        <v>73</v>
      </c>
      <c r="H37" s="1">
        <v>34.1875</v>
      </c>
      <c r="J37" s="5" t="s">
        <v>73</v>
      </c>
      <c r="K37" s="1">
        <v>6.333333333333333</v>
      </c>
    </row>
    <row r="38" spans="1:11" x14ac:dyDescent="0.3">
      <c r="D38" s="5" t="s">
        <v>74</v>
      </c>
      <c r="E38" s="16">
        <v>12</v>
      </c>
      <c r="G38" s="5" t="s">
        <v>74</v>
      </c>
      <c r="H38" s="1">
        <v>36.166666666666664</v>
      </c>
      <c r="J38" s="5" t="s">
        <v>74</v>
      </c>
      <c r="K38" s="1">
        <v>5.333333333333333</v>
      </c>
    </row>
    <row r="39" spans="1:11" x14ac:dyDescent="0.3">
      <c r="D39" s="5" t="s">
        <v>4</v>
      </c>
      <c r="E39" s="16">
        <v>506</v>
      </c>
      <c r="G39" s="5" t="s">
        <v>4</v>
      </c>
      <c r="H39" s="1">
        <v>35.581027667984188</v>
      </c>
      <c r="J39" s="5" t="s">
        <v>4</v>
      </c>
      <c r="K39" s="1">
        <v>5.1818181818181817</v>
      </c>
    </row>
    <row r="44" spans="1:11" x14ac:dyDescent="0.3">
      <c r="A44" s="15" t="s">
        <v>14</v>
      </c>
      <c r="B44" s="15" t="s">
        <v>16</v>
      </c>
      <c r="C44" s="15" t="s">
        <v>15</v>
      </c>
      <c r="D44" s="11"/>
    </row>
    <row r="45" spans="1:11" x14ac:dyDescent="0.3">
      <c r="A45" s="12" t="str">
        <f>A18</f>
        <v>not addmited</v>
      </c>
      <c r="B45" s="12">
        <f>B18</f>
        <v>254</v>
      </c>
      <c r="C45" s="13">
        <f>C18</f>
        <v>0.50197628458498023</v>
      </c>
      <c r="D45" s="12"/>
    </row>
    <row r="46" spans="1:11" x14ac:dyDescent="0.3">
      <c r="A46" s="12" t="str">
        <f>A17</f>
        <v>addimited</v>
      </c>
      <c r="B46" s="12">
        <f>B17</f>
        <v>252</v>
      </c>
      <c r="C46" s="14">
        <f>C17</f>
        <v>0.49802371541501977</v>
      </c>
      <c r="D46" s="12"/>
    </row>
    <row r="47" spans="1:11" x14ac:dyDescent="0.3">
      <c r="A47" s="10"/>
      <c r="B47" s="10"/>
      <c r="C47" s="10"/>
      <c r="D47" s="10"/>
    </row>
    <row r="50" spans="1:9" x14ac:dyDescent="0.3">
      <c r="E50" s="3"/>
      <c r="F50" s="3"/>
      <c r="G50" s="3"/>
    </row>
    <row r="51" spans="1:9" x14ac:dyDescent="0.3">
      <c r="E51" s="5"/>
      <c r="F51" s="8"/>
      <c r="G51" s="9"/>
    </row>
    <row r="52" spans="1:9" x14ac:dyDescent="0.3">
      <c r="A52" s="15"/>
      <c r="B52" s="15"/>
      <c r="C52" s="15"/>
      <c r="E52" s="5" t="s">
        <v>26</v>
      </c>
      <c r="F52" s="8"/>
      <c r="G52" s="9"/>
      <c r="H52" t="s">
        <v>30</v>
      </c>
    </row>
    <row r="53" spans="1:9" x14ac:dyDescent="0.3">
      <c r="A53" s="12"/>
      <c r="B53" s="12"/>
      <c r="C53" s="13"/>
      <c r="E53" s="4" t="s">
        <v>5</v>
      </c>
      <c r="F53" t="s">
        <v>25</v>
      </c>
      <c r="H53" s="4" t="s">
        <v>5</v>
      </c>
      <c r="I53" t="s">
        <v>29</v>
      </c>
    </row>
    <row r="54" spans="1:9" x14ac:dyDescent="0.3">
      <c r="A54" s="12"/>
      <c r="B54" s="12"/>
      <c r="C54" s="14"/>
      <c r="E54" s="5" t="s">
        <v>17</v>
      </c>
      <c r="F54" s="8">
        <v>54</v>
      </c>
      <c r="H54" s="5" t="s">
        <v>27</v>
      </c>
      <c r="I54" s="8">
        <v>311</v>
      </c>
    </row>
    <row r="55" spans="1:9" x14ac:dyDescent="0.3">
      <c r="A55" s="10"/>
      <c r="B55" s="10"/>
      <c r="C55" s="10"/>
      <c r="E55" s="5" t="s">
        <v>18</v>
      </c>
      <c r="F55" s="8">
        <v>72</v>
      </c>
      <c r="H55" s="5" t="s">
        <v>28</v>
      </c>
      <c r="I55" s="8">
        <v>195</v>
      </c>
    </row>
    <row r="56" spans="1:9" x14ac:dyDescent="0.3">
      <c r="E56" s="5" t="s">
        <v>19</v>
      </c>
      <c r="F56" s="8">
        <v>75</v>
      </c>
      <c r="H56" s="5" t="s">
        <v>4</v>
      </c>
      <c r="I56" s="8">
        <v>506</v>
      </c>
    </row>
    <row r="57" spans="1:9" x14ac:dyDescent="0.3">
      <c r="E57" s="5" t="s">
        <v>20</v>
      </c>
      <c r="F57" s="8">
        <v>62</v>
      </c>
    </row>
    <row r="58" spans="1:9" x14ac:dyDescent="0.3">
      <c r="E58" s="5" t="s">
        <v>21</v>
      </c>
      <c r="F58" s="8">
        <v>63</v>
      </c>
    </row>
    <row r="59" spans="1:9" x14ac:dyDescent="0.3">
      <c r="E59" s="5" t="s">
        <v>22</v>
      </c>
      <c r="F59" s="8">
        <v>49</v>
      </c>
      <c r="H59" s="5" t="s">
        <v>31</v>
      </c>
    </row>
    <row r="60" spans="1:9" x14ac:dyDescent="0.3">
      <c r="E60" s="5" t="s">
        <v>23</v>
      </c>
      <c r="F60" s="8">
        <v>74</v>
      </c>
    </row>
    <row r="61" spans="1:9" x14ac:dyDescent="0.3">
      <c r="E61" s="5" t="s">
        <v>24</v>
      </c>
      <c r="F61" s="8">
        <v>57</v>
      </c>
      <c r="H61" s="4" t="s">
        <v>5</v>
      </c>
      <c r="I61" t="s">
        <v>34</v>
      </c>
    </row>
    <row r="62" spans="1:9" x14ac:dyDescent="0.3">
      <c r="E62" s="5" t="s">
        <v>4</v>
      </c>
      <c r="F62" s="8">
        <v>506</v>
      </c>
      <c r="H62" s="5" t="s">
        <v>32</v>
      </c>
      <c r="I62" s="8">
        <v>233</v>
      </c>
    </row>
    <row r="63" spans="1:9" x14ac:dyDescent="0.3">
      <c r="H63" s="5" t="s">
        <v>33</v>
      </c>
      <c r="I63" s="8">
        <v>273</v>
      </c>
    </row>
    <row r="64" spans="1:9" x14ac:dyDescent="0.3">
      <c r="H64" s="5" t="s">
        <v>4</v>
      </c>
      <c r="I64" s="8">
        <v>506</v>
      </c>
    </row>
    <row r="68" spans="4:9" x14ac:dyDescent="0.3">
      <c r="D68" s="4" t="s">
        <v>5</v>
      </c>
    </row>
    <row r="69" spans="4:9" x14ac:dyDescent="0.3">
      <c r="D69" s="5" t="s">
        <v>44</v>
      </c>
      <c r="H69" s="4" t="s">
        <v>5</v>
      </c>
      <c r="I69" t="s">
        <v>43</v>
      </c>
    </row>
    <row r="70" spans="4:9" x14ac:dyDescent="0.3">
      <c r="D70" s="5" t="s">
        <v>4</v>
      </c>
      <c r="H70" s="5" t="s">
        <v>42</v>
      </c>
      <c r="I70" s="8">
        <v>2</v>
      </c>
    </row>
    <row r="71" spans="4:9" x14ac:dyDescent="0.3">
      <c r="H71" s="5" t="s">
        <v>36</v>
      </c>
      <c r="I71" s="8">
        <v>11</v>
      </c>
    </row>
    <row r="72" spans="4:9" x14ac:dyDescent="0.3">
      <c r="H72" s="5" t="s">
        <v>35</v>
      </c>
      <c r="I72" s="8">
        <v>12</v>
      </c>
    </row>
    <row r="73" spans="4:9" x14ac:dyDescent="0.3">
      <c r="H73" s="5" t="s">
        <v>38</v>
      </c>
      <c r="I73" s="8">
        <v>15</v>
      </c>
    </row>
    <row r="74" spans="4:9" x14ac:dyDescent="0.3">
      <c r="H74" s="5" t="s">
        <v>41</v>
      </c>
      <c r="I74" s="8">
        <v>18</v>
      </c>
    </row>
    <row r="75" spans="4:9" x14ac:dyDescent="0.3">
      <c r="H75" s="5" t="s">
        <v>40</v>
      </c>
      <c r="I75" s="8">
        <v>60</v>
      </c>
    </row>
    <row r="76" spans="4:9" x14ac:dyDescent="0.3">
      <c r="H76" s="5" t="s">
        <v>37</v>
      </c>
      <c r="I76" s="8">
        <v>83</v>
      </c>
    </row>
    <row r="77" spans="4:9" x14ac:dyDescent="0.3">
      <c r="H77" s="5" t="s">
        <v>39</v>
      </c>
      <c r="I77" s="8">
        <v>305</v>
      </c>
    </row>
    <row r="78" spans="4:9" x14ac:dyDescent="0.3">
      <c r="H78" s="5" t="s">
        <v>4</v>
      </c>
      <c r="I78" s="8">
        <v>506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02E15-82ED-40D3-AD06-87D5F179B843}">
  <dimension ref="A1:X33"/>
  <sheetViews>
    <sheetView showGridLines="0" tabSelected="1" zoomScale="90" zoomScaleNormal="90" workbookViewId="0">
      <selection activeCell="P20" sqref="P20"/>
    </sheetView>
  </sheetViews>
  <sheetFormatPr defaultRowHeight="14.4" x14ac:dyDescent="0.3"/>
  <sheetData>
    <row r="1" spans="1:24" x14ac:dyDescent="0.3">
      <c r="A1" s="2"/>
      <c r="B1" s="2"/>
      <c r="C1" s="2"/>
      <c r="D1" s="2"/>
      <c r="E1" s="2"/>
      <c r="F1" s="2"/>
      <c r="G1" s="2"/>
      <c r="H1" s="2"/>
      <c r="I1" s="2"/>
      <c r="J1" s="2"/>
      <c r="K1" s="2"/>
      <c r="L1" s="2"/>
      <c r="M1" s="2"/>
      <c r="N1" s="2"/>
      <c r="O1" s="2"/>
      <c r="P1" s="2"/>
      <c r="Q1" s="2"/>
      <c r="R1" s="2"/>
      <c r="S1" s="2"/>
      <c r="T1" s="2"/>
      <c r="U1" s="2"/>
      <c r="V1" s="2"/>
      <c r="W1" s="2"/>
      <c r="X1" s="2"/>
    </row>
    <row r="2" spans="1:24" x14ac:dyDescent="0.3">
      <c r="A2" s="2"/>
      <c r="B2" s="2"/>
      <c r="C2" s="2"/>
      <c r="D2" s="2"/>
      <c r="E2" s="2"/>
      <c r="F2" s="2"/>
      <c r="G2" s="2"/>
      <c r="H2" s="2"/>
      <c r="I2" s="2"/>
      <c r="J2" s="2"/>
      <c r="K2" s="2"/>
      <c r="L2" s="2"/>
      <c r="M2" s="2"/>
      <c r="N2" s="2"/>
      <c r="O2" s="2"/>
      <c r="P2" s="2"/>
      <c r="Q2" s="2"/>
      <c r="R2" s="2"/>
      <c r="S2" s="2"/>
      <c r="T2" s="2"/>
      <c r="U2" s="2"/>
      <c r="V2" s="2"/>
      <c r="W2" s="2"/>
      <c r="X2" s="2"/>
    </row>
    <row r="3" spans="1:24" x14ac:dyDescent="0.3">
      <c r="A3" s="2"/>
      <c r="B3" s="2"/>
      <c r="C3" s="2"/>
      <c r="D3" s="2"/>
      <c r="E3" s="2"/>
      <c r="F3" s="2"/>
      <c r="G3" s="2"/>
      <c r="H3" s="2"/>
      <c r="I3" s="2"/>
      <c r="J3" s="2"/>
      <c r="K3" s="2"/>
      <c r="L3" s="2"/>
      <c r="M3" s="2"/>
      <c r="N3" s="2"/>
      <c r="O3" s="2"/>
      <c r="P3" s="2"/>
      <c r="Q3" s="2"/>
      <c r="R3" s="2"/>
      <c r="S3" s="2"/>
      <c r="T3" s="2"/>
      <c r="U3" s="2"/>
      <c r="V3" s="2"/>
      <c r="W3" s="2"/>
      <c r="X3" s="2"/>
    </row>
    <row r="4" spans="1:24" x14ac:dyDescent="0.3">
      <c r="A4" s="2"/>
      <c r="B4" s="2"/>
      <c r="C4" s="2"/>
      <c r="D4" s="2"/>
      <c r="E4" s="2"/>
      <c r="F4" s="2"/>
      <c r="G4" s="2"/>
      <c r="H4" s="2"/>
      <c r="I4" s="2"/>
      <c r="J4" s="2"/>
      <c r="K4" s="2"/>
      <c r="L4" s="2"/>
      <c r="M4" s="2"/>
      <c r="N4" s="2"/>
      <c r="O4" s="2"/>
      <c r="P4" s="2"/>
      <c r="Q4" s="2"/>
      <c r="R4" s="2"/>
      <c r="S4" s="2"/>
      <c r="T4" s="2"/>
      <c r="U4" s="2"/>
      <c r="V4" s="2"/>
      <c r="W4" s="2"/>
      <c r="X4" s="2"/>
    </row>
    <row r="5" spans="1:24" x14ac:dyDescent="0.3">
      <c r="A5" s="2"/>
      <c r="B5" s="2"/>
      <c r="C5" s="2"/>
      <c r="D5" s="2"/>
      <c r="E5" s="2"/>
      <c r="F5" s="2"/>
      <c r="G5" s="2"/>
      <c r="H5" s="2"/>
      <c r="I5" s="2"/>
      <c r="J5" s="2"/>
      <c r="K5" s="2"/>
      <c r="L5" s="2"/>
      <c r="M5" s="2"/>
      <c r="N5" s="2"/>
      <c r="O5" s="2"/>
      <c r="P5" s="2"/>
      <c r="Q5" s="2"/>
      <c r="R5" s="2"/>
      <c r="S5" s="2"/>
      <c r="T5" s="2"/>
      <c r="U5" s="2"/>
      <c r="V5" s="2"/>
      <c r="W5" s="2"/>
      <c r="X5" s="2"/>
    </row>
    <row r="6" spans="1:24" x14ac:dyDescent="0.3">
      <c r="A6" s="2"/>
      <c r="B6" s="2"/>
      <c r="C6" s="2"/>
      <c r="D6" s="2"/>
      <c r="E6" s="2"/>
      <c r="F6" s="2"/>
      <c r="G6" s="2"/>
      <c r="H6" s="2"/>
      <c r="I6" s="2"/>
      <c r="J6" s="2"/>
      <c r="K6" s="2"/>
      <c r="L6" s="2"/>
      <c r="M6" s="2"/>
      <c r="N6" s="2"/>
      <c r="O6" s="2"/>
      <c r="P6" s="2"/>
      <c r="Q6" s="2"/>
      <c r="R6" s="2"/>
      <c r="S6" s="2"/>
      <c r="T6" s="2"/>
      <c r="U6" s="2"/>
      <c r="V6" s="2"/>
      <c r="W6" s="2"/>
      <c r="X6" s="2"/>
    </row>
    <row r="7" spans="1:24" x14ac:dyDescent="0.3">
      <c r="A7" s="2"/>
      <c r="B7" s="2"/>
      <c r="C7" s="2"/>
      <c r="D7" s="2"/>
      <c r="E7" s="2"/>
      <c r="F7" s="2"/>
      <c r="G7" s="2"/>
      <c r="H7" s="2"/>
      <c r="I7" s="2"/>
      <c r="J7" s="2"/>
      <c r="K7" s="2"/>
      <c r="L7" s="2"/>
      <c r="M7" s="2"/>
      <c r="N7" s="2"/>
      <c r="O7" s="2"/>
      <c r="P7" s="2"/>
      <c r="Q7" s="2"/>
      <c r="R7" s="2"/>
      <c r="S7" s="2"/>
      <c r="T7" s="2"/>
      <c r="U7" s="2"/>
      <c r="V7" s="2"/>
      <c r="W7" s="2"/>
      <c r="X7" s="2"/>
    </row>
    <row r="8" spans="1:24" x14ac:dyDescent="0.3">
      <c r="A8" s="2"/>
      <c r="B8" s="2"/>
      <c r="C8" s="2"/>
      <c r="D8" s="2"/>
      <c r="E8" s="2"/>
      <c r="F8" s="2"/>
      <c r="G8" s="2"/>
      <c r="H8" s="2"/>
      <c r="I8" s="2"/>
      <c r="J8" s="2"/>
      <c r="K8" s="2"/>
      <c r="L8" s="2"/>
      <c r="M8" s="2"/>
      <c r="N8" s="2"/>
      <c r="O8" s="2"/>
      <c r="P8" s="2"/>
      <c r="Q8" s="2"/>
      <c r="R8" s="2"/>
      <c r="S8" s="2"/>
      <c r="T8" s="2"/>
      <c r="U8" s="2"/>
      <c r="V8" s="2"/>
      <c r="W8" s="2"/>
      <c r="X8" s="2"/>
    </row>
    <row r="9" spans="1:24" x14ac:dyDescent="0.3">
      <c r="A9" s="2"/>
      <c r="B9" s="2"/>
      <c r="C9" s="2"/>
      <c r="D9" s="2"/>
      <c r="E9" s="2"/>
      <c r="F9" s="2"/>
      <c r="G9" s="2"/>
      <c r="H9" s="2"/>
      <c r="I9" s="2"/>
      <c r="J9" s="2"/>
      <c r="K9" s="2"/>
      <c r="L9" s="2"/>
      <c r="M9" s="2"/>
      <c r="N9" s="2"/>
      <c r="O9" s="2"/>
      <c r="P9" s="2"/>
      <c r="Q9" s="2"/>
      <c r="R9" s="2"/>
      <c r="S9" s="2"/>
      <c r="T9" s="2"/>
      <c r="U9" s="2"/>
      <c r="V9" s="2"/>
      <c r="W9" s="2"/>
      <c r="X9" s="2"/>
    </row>
    <row r="10" spans="1:24" x14ac:dyDescent="0.3">
      <c r="A10" s="2"/>
      <c r="B10" s="2"/>
      <c r="C10" s="2"/>
      <c r="D10" s="2"/>
      <c r="E10" s="2"/>
      <c r="F10" s="2"/>
      <c r="G10" s="2"/>
      <c r="H10" s="2"/>
      <c r="I10" s="2"/>
      <c r="J10" s="2"/>
      <c r="K10" s="2"/>
      <c r="L10" s="2"/>
      <c r="M10" s="2"/>
      <c r="N10" s="2"/>
      <c r="O10" s="2"/>
      <c r="P10" s="2"/>
      <c r="Q10" s="2"/>
      <c r="R10" s="2"/>
      <c r="S10" s="2"/>
      <c r="T10" s="2"/>
      <c r="U10" s="2"/>
      <c r="V10" s="2"/>
      <c r="W10" s="2"/>
      <c r="X10" s="2"/>
    </row>
    <row r="11" spans="1:24" x14ac:dyDescent="0.3">
      <c r="A11" s="2"/>
      <c r="B11" s="2"/>
      <c r="C11" s="2"/>
      <c r="D11" s="2"/>
      <c r="E11" s="2"/>
      <c r="F11" s="2"/>
      <c r="G11" s="2"/>
      <c r="H11" s="2"/>
      <c r="I11" s="2"/>
      <c r="J11" s="2"/>
      <c r="K11" s="2"/>
      <c r="L11" s="2"/>
      <c r="M11" s="2"/>
      <c r="N11" s="2"/>
      <c r="O11" s="2"/>
      <c r="P11" s="2"/>
      <c r="Q11" s="2"/>
      <c r="R11" s="2"/>
      <c r="S11" s="2"/>
      <c r="T11" s="2"/>
      <c r="U11" s="2"/>
      <c r="V11" s="2"/>
      <c r="W11" s="2"/>
      <c r="X11" s="2"/>
    </row>
    <row r="12" spans="1:24" x14ac:dyDescent="0.3">
      <c r="A12" s="2"/>
      <c r="B12" s="2"/>
      <c r="C12" s="2"/>
      <c r="D12" s="2"/>
      <c r="E12" s="2"/>
      <c r="F12" s="2"/>
      <c r="G12" s="2"/>
      <c r="H12" s="2"/>
      <c r="I12" s="2"/>
      <c r="J12" s="2"/>
      <c r="K12" s="2"/>
      <c r="L12" s="2"/>
      <c r="M12" s="2"/>
      <c r="N12" s="2"/>
      <c r="O12" s="2"/>
      <c r="P12" s="2"/>
      <c r="Q12" s="2"/>
      <c r="R12" s="2"/>
      <c r="S12" s="2"/>
      <c r="T12" s="2"/>
      <c r="U12" s="2"/>
      <c r="V12" s="2"/>
      <c r="W12" s="2"/>
      <c r="X12" s="2"/>
    </row>
    <row r="13" spans="1:24" x14ac:dyDescent="0.3">
      <c r="A13" s="2"/>
      <c r="B13" s="2"/>
      <c r="C13" s="2"/>
      <c r="D13" s="2"/>
      <c r="E13" s="2"/>
      <c r="F13" s="2"/>
      <c r="G13" s="2"/>
      <c r="H13" s="2"/>
      <c r="I13" s="2"/>
      <c r="J13" s="2"/>
      <c r="K13" s="2"/>
      <c r="L13" s="2"/>
      <c r="M13" s="2"/>
      <c r="N13" s="2"/>
      <c r="O13" s="2"/>
      <c r="P13" s="2"/>
      <c r="Q13" s="2"/>
      <c r="R13" s="2"/>
      <c r="S13" s="2"/>
      <c r="T13" s="2"/>
      <c r="U13" s="2"/>
      <c r="V13" s="2"/>
      <c r="W13" s="2"/>
      <c r="X13" s="2"/>
    </row>
    <row r="14" spans="1:24" x14ac:dyDescent="0.3">
      <c r="A14" s="2"/>
      <c r="B14" s="2"/>
      <c r="C14" s="2"/>
      <c r="D14" s="2"/>
      <c r="E14" s="2"/>
      <c r="F14" s="2"/>
      <c r="G14" s="2"/>
      <c r="H14" s="2"/>
      <c r="I14" s="2"/>
      <c r="J14" s="2"/>
      <c r="K14" s="2"/>
      <c r="L14" s="2"/>
      <c r="M14" s="2"/>
      <c r="N14" s="2"/>
      <c r="O14" s="2"/>
      <c r="P14" s="2"/>
      <c r="Q14" s="2"/>
      <c r="R14" s="2"/>
      <c r="S14" s="2"/>
      <c r="T14" s="2"/>
      <c r="U14" s="2"/>
      <c r="V14" s="2"/>
      <c r="W14" s="2"/>
      <c r="X14" s="2"/>
    </row>
    <row r="15" spans="1:24" x14ac:dyDescent="0.3">
      <c r="A15" s="2"/>
      <c r="B15" s="2"/>
      <c r="C15" s="2"/>
      <c r="D15" s="2"/>
      <c r="E15" s="2"/>
      <c r="F15" s="2"/>
      <c r="G15" s="2"/>
      <c r="H15" s="2"/>
      <c r="I15" s="2"/>
      <c r="J15" s="2"/>
      <c r="K15" s="2"/>
      <c r="L15" s="2"/>
      <c r="M15" s="2"/>
      <c r="N15" s="2"/>
      <c r="O15" s="2"/>
      <c r="P15" s="2"/>
      <c r="Q15" s="2"/>
      <c r="R15" s="2"/>
      <c r="S15" s="2"/>
      <c r="T15" s="2"/>
      <c r="U15" s="2"/>
      <c r="V15" s="2"/>
      <c r="W15" s="2"/>
      <c r="X15" s="2"/>
    </row>
    <row r="16" spans="1:24" x14ac:dyDescent="0.3">
      <c r="A16" s="2"/>
      <c r="B16" s="2"/>
      <c r="C16" s="2"/>
      <c r="D16" s="2"/>
      <c r="E16" s="2"/>
      <c r="F16" s="2"/>
      <c r="G16" s="2"/>
      <c r="H16" s="2"/>
      <c r="I16" s="2"/>
      <c r="J16" s="2"/>
      <c r="K16" s="2"/>
      <c r="L16" s="2"/>
      <c r="M16" s="2"/>
      <c r="N16" s="2"/>
      <c r="O16" s="2"/>
      <c r="P16" s="2"/>
      <c r="Q16" s="2"/>
      <c r="R16" s="2"/>
      <c r="S16" s="2"/>
      <c r="T16" s="2"/>
      <c r="U16" s="2"/>
      <c r="V16" s="2"/>
      <c r="W16" s="2"/>
      <c r="X16" s="2"/>
    </row>
    <row r="17" spans="1:24" x14ac:dyDescent="0.3">
      <c r="A17" s="2"/>
      <c r="B17" s="2"/>
      <c r="C17" s="2"/>
      <c r="D17" s="2"/>
      <c r="E17" s="2"/>
      <c r="F17" s="2"/>
      <c r="G17" s="2"/>
      <c r="H17" s="2"/>
      <c r="I17" s="2"/>
      <c r="J17" s="2"/>
      <c r="K17" s="2"/>
      <c r="L17" s="2"/>
      <c r="M17" s="2"/>
      <c r="N17" s="2"/>
      <c r="O17" s="2"/>
      <c r="P17" s="2"/>
      <c r="Q17" s="2"/>
      <c r="R17" s="2"/>
      <c r="S17" s="2"/>
      <c r="T17" s="2"/>
      <c r="U17" s="2"/>
      <c r="V17" s="2"/>
      <c r="W17" s="2"/>
      <c r="X17" s="2"/>
    </row>
    <row r="18" spans="1:24" x14ac:dyDescent="0.3">
      <c r="A18" s="2"/>
      <c r="B18" s="2"/>
      <c r="C18" s="2"/>
      <c r="D18" s="2"/>
      <c r="E18" s="2"/>
      <c r="F18" s="2"/>
      <c r="G18" s="2"/>
      <c r="H18" s="2"/>
      <c r="I18" s="2"/>
      <c r="J18" s="2"/>
      <c r="K18" s="2"/>
      <c r="L18" s="2"/>
      <c r="M18" s="2"/>
      <c r="N18" s="2"/>
      <c r="O18" s="2"/>
      <c r="P18" s="2"/>
      <c r="Q18" s="2"/>
      <c r="R18" s="2"/>
      <c r="S18" s="2"/>
      <c r="T18" s="2"/>
      <c r="U18" s="2"/>
      <c r="V18" s="2"/>
      <c r="W18" s="2"/>
      <c r="X18" s="2"/>
    </row>
    <row r="19" spans="1:24" x14ac:dyDescent="0.3">
      <c r="A19" s="2"/>
      <c r="B19" s="2"/>
      <c r="C19" s="2"/>
      <c r="D19" s="2"/>
      <c r="E19" s="2"/>
      <c r="F19" s="2"/>
      <c r="G19" s="2"/>
      <c r="H19" s="2"/>
      <c r="I19" s="2"/>
      <c r="J19" s="2"/>
      <c r="K19" s="2"/>
      <c r="L19" s="2"/>
      <c r="M19" s="2"/>
      <c r="N19" s="2"/>
      <c r="O19" s="2"/>
      <c r="P19" s="2"/>
      <c r="Q19" s="2"/>
      <c r="R19" s="2"/>
      <c r="S19" s="2"/>
      <c r="T19" s="2"/>
      <c r="U19" s="2"/>
      <c r="V19" s="2"/>
      <c r="W19" s="2"/>
      <c r="X19" s="2"/>
    </row>
    <row r="20" spans="1:24" x14ac:dyDescent="0.3">
      <c r="A20" s="2"/>
      <c r="B20" s="2"/>
      <c r="C20" s="2"/>
      <c r="D20" s="2"/>
      <c r="E20" s="2"/>
      <c r="F20" s="2"/>
      <c r="G20" s="2"/>
      <c r="H20" s="2"/>
      <c r="I20" s="2"/>
      <c r="J20" s="2"/>
      <c r="K20" s="2"/>
      <c r="L20" s="2"/>
      <c r="M20" s="2"/>
      <c r="N20" s="2"/>
      <c r="O20" s="2"/>
      <c r="P20" s="2"/>
      <c r="Q20" s="2"/>
      <c r="R20" s="2"/>
      <c r="S20" s="2"/>
      <c r="T20" s="2"/>
      <c r="U20" s="2"/>
      <c r="V20" s="2"/>
      <c r="W20" s="2"/>
      <c r="X20" s="2"/>
    </row>
    <row r="21" spans="1:24" x14ac:dyDescent="0.3">
      <c r="A21" s="2"/>
      <c r="B21" s="2"/>
      <c r="C21" s="2"/>
      <c r="D21" s="2"/>
      <c r="E21" s="2"/>
      <c r="F21" s="2"/>
      <c r="G21" s="2"/>
      <c r="H21" s="2"/>
      <c r="I21" s="2"/>
      <c r="J21" s="2"/>
      <c r="K21" s="2"/>
      <c r="L21" s="2"/>
      <c r="M21" s="2"/>
      <c r="N21" s="2"/>
      <c r="O21" s="2"/>
      <c r="P21" s="2"/>
      <c r="Q21" s="2"/>
      <c r="R21" s="2"/>
      <c r="S21" s="2"/>
      <c r="T21" s="2"/>
      <c r="U21" s="2"/>
      <c r="V21" s="2"/>
      <c r="W21" s="2"/>
      <c r="X21" s="2"/>
    </row>
    <row r="22" spans="1:24" x14ac:dyDescent="0.3">
      <c r="A22" s="2"/>
      <c r="B22" s="2"/>
      <c r="C22" s="2"/>
      <c r="D22" s="2"/>
      <c r="E22" s="2"/>
      <c r="F22" s="2"/>
      <c r="G22" s="2"/>
      <c r="H22" s="2"/>
      <c r="I22" s="2"/>
      <c r="J22" s="2"/>
      <c r="K22" s="2"/>
      <c r="L22" s="2"/>
      <c r="M22" s="2"/>
      <c r="N22" s="2"/>
      <c r="O22" s="2"/>
      <c r="P22" s="2"/>
      <c r="Q22" s="2"/>
      <c r="R22" s="2"/>
      <c r="S22" s="2"/>
      <c r="T22" s="2"/>
      <c r="U22" s="2"/>
      <c r="V22" s="2"/>
      <c r="W22" s="2"/>
      <c r="X22" s="2"/>
    </row>
    <row r="23" spans="1:24" x14ac:dyDescent="0.3">
      <c r="A23" s="2"/>
      <c r="B23" s="2"/>
      <c r="C23" s="2"/>
      <c r="D23" s="2"/>
      <c r="E23" s="2"/>
      <c r="F23" s="2"/>
      <c r="G23" s="2"/>
      <c r="H23" s="2"/>
      <c r="I23" s="2"/>
      <c r="J23" s="2"/>
      <c r="K23" s="2"/>
      <c r="L23" s="2"/>
      <c r="M23" s="2"/>
      <c r="N23" s="2"/>
      <c r="O23" s="2"/>
      <c r="P23" s="2"/>
      <c r="Q23" s="2"/>
      <c r="R23" s="2"/>
      <c r="S23" s="2"/>
      <c r="T23" s="2"/>
      <c r="U23" s="2"/>
      <c r="V23" s="2"/>
      <c r="W23" s="2"/>
      <c r="X23" s="2"/>
    </row>
    <row r="24" spans="1:24" x14ac:dyDescent="0.3">
      <c r="A24" s="2"/>
      <c r="B24" s="2"/>
      <c r="C24" s="2"/>
      <c r="D24" s="2"/>
      <c r="E24" s="2"/>
      <c r="F24" s="2"/>
      <c r="G24" s="2"/>
      <c r="H24" s="2"/>
      <c r="I24" s="2"/>
      <c r="J24" s="2"/>
      <c r="K24" s="2"/>
      <c r="L24" s="2"/>
      <c r="M24" s="2"/>
      <c r="N24" s="2"/>
      <c r="O24" s="2"/>
      <c r="P24" s="2"/>
      <c r="Q24" s="2"/>
      <c r="R24" s="2"/>
      <c r="S24" s="2"/>
      <c r="T24" s="2"/>
      <c r="U24" s="2"/>
      <c r="V24" s="2"/>
      <c r="W24" s="2"/>
      <c r="X24" s="2"/>
    </row>
    <row r="25" spans="1:24" x14ac:dyDescent="0.3">
      <c r="A25" s="2"/>
      <c r="B25" s="2"/>
      <c r="C25" s="2"/>
      <c r="D25" s="2"/>
      <c r="E25" s="2"/>
      <c r="F25" s="2"/>
      <c r="G25" s="2"/>
      <c r="H25" s="2"/>
      <c r="I25" s="2"/>
      <c r="J25" s="2"/>
      <c r="K25" s="2"/>
      <c r="L25" s="2"/>
      <c r="M25" s="2"/>
      <c r="N25" s="2"/>
      <c r="O25" s="2"/>
      <c r="P25" s="2"/>
      <c r="Q25" s="2"/>
      <c r="R25" s="2"/>
      <c r="S25" s="2"/>
      <c r="T25" s="2"/>
      <c r="U25" s="2"/>
      <c r="V25" s="2"/>
      <c r="W25" s="2"/>
      <c r="X25" s="2"/>
    </row>
    <row r="26" spans="1:24" x14ac:dyDescent="0.3">
      <c r="A26" s="2"/>
      <c r="B26" s="2"/>
      <c r="C26" s="2"/>
      <c r="D26" s="2"/>
      <c r="E26" s="2"/>
      <c r="F26" s="2"/>
      <c r="G26" s="2"/>
      <c r="H26" s="2"/>
      <c r="I26" s="2"/>
      <c r="J26" s="2"/>
      <c r="K26" s="2"/>
      <c r="L26" s="2"/>
      <c r="M26" s="2"/>
      <c r="N26" s="2"/>
      <c r="O26" s="2"/>
      <c r="P26" s="2"/>
      <c r="Q26" s="2"/>
      <c r="R26" s="2"/>
      <c r="S26" s="2"/>
      <c r="T26" s="2"/>
      <c r="U26" s="2"/>
      <c r="V26" s="2"/>
      <c r="W26" s="2"/>
      <c r="X26" s="2"/>
    </row>
    <row r="27" spans="1:24" x14ac:dyDescent="0.3">
      <c r="A27" s="2"/>
      <c r="B27" s="2"/>
      <c r="C27" s="2"/>
      <c r="D27" s="2"/>
      <c r="E27" s="2"/>
      <c r="F27" s="2"/>
      <c r="G27" s="2"/>
      <c r="H27" s="2"/>
      <c r="I27" s="2"/>
      <c r="J27" s="2"/>
      <c r="K27" s="2"/>
      <c r="L27" s="2"/>
      <c r="M27" s="2"/>
      <c r="N27" s="2"/>
      <c r="O27" s="2"/>
      <c r="P27" s="2"/>
      <c r="Q27" s="2"/>
      <c r="R27" s="2"/>
      <c r="S27" s="2"/>
      <c r="T27" s="2"/>
      <c r="U27" s="2"/>
      <c r="V27" s="2"/>
      <c r="W27" s="2"/>
      <c r="X27" s="2"/>
    </row>
    <row r="28" spans="1:24" x14ac:dyDescent="0.3">
      <c r="A28" s="2"/>
      <c r="B28" s="2"/>
      <c r="C28" s="2"/>
      <c r="D28" s="2"/>
      <c r="E28" s="2"/>
      <c r="F28" s="2"/>
      <c r="G28" s="2"/>
      <c r="H28" s="2"/>
      <c r="I28" s="2"/>
      <c r="J28" s="2"/>
      <c r="K28" s="2"/>
      <c r="L28" s="2"/>
      <c r="M28" s="2"/>
      <c r="N28" s="2"/>
      <c r="O28" s="2"/>
      <c r="P28" s="2"/>
      <c r="Q28" s="2"/>
      <c r="R28" s="2"/>
      <c r="S28" s="2"/>
      <c r="T28" s="2"/>
      <c r="U28" s="2"/>
      <c r="V28" s="2"/>
      <c r="W28" s="2"/>
      <c r="X28" s="2"/>
    </row>
    <row r="29" spans="1:24" x14ac:dyDescent="0.3">
      <c r="A29" s="2"/>
      <c r="B29" s="2"/>
      <c r="C29" s="2"/>
      <c r="D29" s="2"/>
      <c r="E29" s="2"/>
      <c r="F29" s="2"/>
      <c r="G29" s="2"/>
      <c r="H29" s="2"/>
      <c r="I29" s="2"/>
      <c r="J29" s="2"/>
      <c r="K29" s="2"/>
      <c r="L29" s="2"/>
      <c r="M29" s="2"/>
      <c r="N29" s="2"/>
      <c r="O29" s="2"/>
      <c r="P29" s="2"/>
      <c r="Q29" s="2"/>
      <c r="R29" s="2"/>
      <c r="S29" s="2"/>
      <c r="T29" s="2"/>
      <c r="U29" s="2"/>
      <c r="V29" s="2"/>
      <c r="W29" s="2"/>
      <c r="X29" s="2"/>
    </row>
    <row r="30" spans="1:24" x14ac:dyDescent="0.3">
      <c r="A30" s="2"/>
      <c r="B30" s="2"/>
      <c r="C30" s="2"/>
      <c r="D30" s="2"/>
      <c r="E30" s="2"/>
      <c r="F30" s="2"/>
      <c r="G30" s="2"/>
      <c r="H30" s="2"/>
      <c r="I30" s="2"/>
      <c r="J30" s="2"/>
      <c r="K30" s="2"/>
      <c r="L30" s="2"/>
      <c r="M30" s="2"/>
      <c r="N30" s="2"/>
      <c r="O30" s="2"/>
      <c r="P30" s="2"/>
      <c r="Q30" s="2"/>
      <c r="R30" s="2"/>
      <c r="S30" s="2"/>
      <c r="T30" s="2"/>
      <c r="U30" s="2"/>
      <c r="V30" s="2"/>
      <c r="W30" s="2"/>
      <c r="X30" s="2"/>
    </row>
    <row r="31" spans="1:24" x14ac:dyDescent="0.3">
      <c r="A31" s="2"/>
      <c r="B31" s="2"/>
      <c r="C31" s="2"/>
      <c r="D31" s="2"/>
      <c r="E31" s="2"/>
      <c r="F31" s="2"/>
      <c r="G31" s="2"/>
      <c r="H31" s="2"/>
      <c r="I31" s="2"/>
      <c r="J31" s="2"/>
      <c r="K31" s="2"/>
      <c r="L31" s="2"/>
      <c r="M31" s="2"/>
      <c r="N31" s="2"/>
      <c r="O31" s="2"/>
      <c r="P31" s="2"/>
      <c r="Q31" s="2"/>
      <c r="R31" s="2"/>
      <c r="S31" s="2"/>
      <c r="T31" s="2"/>
      <c r="U31" s="2"/>
      <c r="V31" s="2"/>
      <c r="W31" s="2"/>
      <c r="X31" s="2"/>
    </row>
    <row r="32" spans="1:24" x14ac:dyDescent="0.3">
      <c r="A32" s="2"/>
      <c r="B32" s="2"/>
      <c r="C32" s="2"/>
      <c r="D32" s="2"/>
      <c r="E32" s="2"/>
      <c r="F32" s="2"/>
      <c r="G32" s="2"/>
      <c r="H32" s="2"/>
      <c r="I32" s="2"/>
      <c r="J32" s="2"/>
      <c r="K32" s="2"/>
      <c r="L32" s="2"/>
      <c r="M32" s="2"/>
      <c r="N32" s="2"/>
      <c r="O32" s="2"/>
      <c r="P32" s="2"/>
      <c r="Q32" s="2"/>
      <c r="R32" s="2"/>
      <c r="S32" s="2"/>
      <c r="T32" s="2"/>
      <c r="U32" s="2"/>
      <c r="V32" s="2"/>
      <c r="W32" s="2"/>
      <c r="X32" s="2"/>
    </row>
    <row r="33" spans="1:24" x14ac:dyDescent="0.3">
      <c r="A33" s="2"/>
      <c r="B33" s="2"/>
      <c r="C33" s="2"/>
      <c r="D33" s="2"/>
      <c r="E33" s="2"/>
      <c r="F33" s="2"/>
      <c r="G33" s="2"/>
      <c r="H33" s="2"/>
      <c r="I33" s="2"/>
      <c r="J33" s="2"/>
      <c r="K33" s="2"/>
      <c r="L33" s="2"/>
      <c r="M33" s="2"/>
      <c r="N33" s="2"/>
      <c r="O33" s="2"/>
      <c r="P33" s="2"/>
      <c r="Q33" s="2"/>
      <c r="R33" s="2"/>
      <c r="S33" s="2"/>
      <c r="T33" s="2"/>
      <c r="U33" s="2"/>
      <c r="V33" s="2"/>
      <c r="W33" s="2"/>
      <c r="X33"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78BC6-C2AB-4E88-9E09-6929AC8A45BE}">
  <dimension ref="A1:O27"/>
  <sheetViews>
    <sheetView workbookViewId="0"/>
  </sheetViews>
  <sheetFormatPr defaultRowHeight="14.4" x14ac:dyDescent="0.3"/>
  <sheetData>
    <row r="1" spans="1:15" x14ac:dyDescent="0.3">
      <c r="A1" s="7"/>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row r="7" spans="1:15" x14ac:dyDescent="0.3">
      <c r="A7" s="7"/>
      <c r="B7" s="7"/>
      <c r="C7" s="7"/>
      <c r="D7" s="7"/>
      <c r="E7" s="7"/>
      <c r="F7" s="7"/>
      <c r="G7" s="7"/>
      <c r="H7" s="7"/>
      <c r="I7" s="7"/>
      <c r="J7" s="7"/>
      <c r="K7" s="7"/>
      <c r="L7" s="7"/>
      <c r="M7" s="7"/>
      <c r="N7" s="7"/>
      <c r="O7" s="7"/>
    </row>
    <row r="8" spans="1:15" x14ac:dyDescent="0.3">
      <c r="A8" s="7"/>
      <c r="B8" s="7"/>
      <c r="C8" s="7"/>
      <c r="D8" s="7"/>
      <c r="E8" s="7"/>
      <c r="F8" s="7"/>
      <c r="G8" s="7"/>
      <c r="H8" s="7"/>
      <c r="I8" s="7"/>
      <c r="J8" s="7"/>
      <c r="K8" s="7"/>
      <c r="L8" s="7"/>
      <c r="M8" s="7"/>
      <c r="N8" s="7"/>
      <c r="O8" s="7"/>
    </row>
    <row r="9" spans="1:15" x14ac:dyDescent="0.3">
      <c r="A9" s="7"/>
      <c r="B9" s="7"/>
      <c r="C9" s="7"/>
      <c r="D9" s="7"/>
      <c r="E9" s="7"/>
      <c r="F9" s="7"/>
      <c r="G9" s="7"/>
      <c r="H9" s="7"/>
      <c r="I9" s="7"/>
      <c r="J9" s="7"/>
      <c r="K9" s="7"/>
      <c r="L9" s="7"/>
      <c r="M9" s="7"/>
      <c r="N9" s="7"/>
      <c r="O9" s="7"/>
    </row>
    <row r="10" spans="1:15" x14ac:dyDescent="0.3">
      <c r="A10" s="7"/>
      <c r="B10" s="7"/>
      <c r="C10" s="7"/>
      <c r="D10" s="7"/>
      <c r="E10" s="7"/>
      <c r="F10" s="7"/>
      <c r="G10" s="7"/>
      <c r="H10" s="7"/>
      <c r="I10" s="7"/>
      <c r="J10" s="7"/>
      <c r="K10" s="7"/>
      <c r="L10" s="7"/>
      <c r="M10" s="7"/>
      <c r="N10" s="7"/>
      <c r="O10" s="7"/>
    </row>
    <row r="11" spans="1:15" x14ac:dyDescent="0.3">
      <c r="A11" s="7"/>
      <c r="B11" s="7"/>
      <c r="C11" s="7"/>
      <c r="D11" s="7"/>
      <c r="E11" s="7"/>
      <c r="F11" s="7"/>
      <c r="G11" s="7"/>
      <c r="H11" s="7"/>
      <c r="I11" s="7"/>
      <c r="J11" s="7"/>
      <c r="K11" s="7"/>
      <c r="L11" s="7"/>
      <c r="M11" s="7"/>
      <c r="N11" s="7"/>
      <c r="O11" s="7"/>
    </row>
    <row r="12" spans="1:15" x14ac:dyDescent="0.3">
      <c r="A12" s="7"/>
      <c r="B12" s="7"/>
      <c r="C12" s="7"/>
      <c r="D12" s="7"/>
      <c r="E12" s="7"/>
      <c r="F12" s="7"/>
      <c r="G12" s="7"/>
      <c r="H12" s="7"/>
      <c r="I12" s="7"/>
      <c r="J12" s="7"/>
      <c r="K12" s="7"/>
      <c r="L12" s="7"/>
      <c r="M12" s="7"/>
      <c r="N12" s="7"/>
      <c r="O12" s="7"/>
    </row>
    <row r="13" spans="1:15" x14ac:dyDescent="0.3">
      <c r="A13" s="7"/>
      <c r="B13" s="7"/>
      <c r="C13" s="7"/>
      <c r="D13" s="7"/>
      <c r="E13" s="7"/>
      <c r="F13" s="7"/>
      <c r="G13" s="7"/>
      <c r="H13" s="7"/>
      <c r="I13" s="7"/>
      <c r="J13" s="7"/>
      <c r="K13" s="7"/>
      <c r="L13" s="7"/>
      <c r="M13" s="7"/>
      <c r="N13" s="7"/>
      <c r="O13" s="7"/>
    </row>
    <row r="14" spans="1:15" x14ac:dyDescent="0.3">
      <c r="A14" s="7"/>
      <c r="B14" s="7"/>
      <c r="C14" s="7"/>
      <c r="D14" s="7"/>
      <c r="E14" s="7"/>
      <c r="F14" s="7"/>
      <c r="G14" s="7"/>
      <c r="H14" s="7"/>
      <c r="I14" s="7"/>
      <c r="J14" s="7"/>
      <c r="K14" s="7"/>
      <c r="L14" s="7"/>
      <c r="M14" s="7"/>
      <c r="N14" s="7"/>
      <c r="O14" s="7"/>
    </row>
    <row r="15" spans="1:15" x14ac:dyDescent="0.3">
      <c r="A15" s="7"/>
      <c r="B15" s="7"/>
      <c r="C15" s="7"/>
      <c r="D15" s="7"/>
      <c r="E15" s="7"/>
      <c r="F15" s="7"/>
      <c r="G15" s="7"/>
      <c r="H15" s="7"/>
      <c r="I15" s="7"/>
      <c r="J15" s="7"/>
      <c r="K15" s="7"/>
      <c r="L15" s="7"/>
      <c r="M15" s="7"/>
      <c r="N15" s="7"/>
      <c r="O15" s="7"/>
    </row>
    <row r="16" spans="1:15" x14ac:dyDescent="0.3">
      <c r="A16" s="7"/>
      <c r="B16" s="7"/>
      <c r="C16" s="7"/>
      <c r="D16" s="7"/>
      <c r="E16" s="7"/>
      <c r="F16" s="7"/>
      <c r="G16" s="7"/>
      <c r="H16" s="7"/>
      <c r="I16" s="7"/>
      <c r="J16" s="7"/>
      <c r="K16" s="7"/>
      <c r="L16" s="7"/>
      <c r="M16" s="7"/>
      <c r="N16" s="7"/>
      <c r="O16" s="7"/>
    </row>
    <row r="17" spans="1:15" x14ac:dyDescent="0.3">
      <c r="A17" s="7"/>
      <c r="B17" s="7"/>
      <c r="C17" s="7"/>
      <c r="D17" s="7"/>
      <c r="E17" s="7"/>
      <c r="F17" s="7"/>
      <c r="G17" s="7"/>
      <c r="H17" s="7"/>
      <c r="I17" s="7"/>
      <c r="J17" s="7"/>
      <c r="K17" s="7"/>
      <c r="L17" s="7"/>
      <c r="M17" s="7"/>
      <c r="N17" s="7"/>
      <c r="O17" s="7"/>
    </row>
    <row r="18" spans="1:15" x14ac:dyDescent="0.3">
      <c r="A18" s="7"/>
      <c r="B18" s="7"/>
      <c r="C18" s="7"/>
      <c r="D18" s="7"/>
      <c r="E18" s="7"/>
      <c r="F18" s="7"/>
      <c r="G18" s="7"/>
      <c r="H18" s="7"/>
      <c r="I18" s="7"/>
      <c r="J18" s="7"/>
      <c r="K18" s="7"/>
      <c r="L18" s="7"/>
      <c r="M18" s="7"/>
      <c r="N18" s="7"/>
      <c r="O18" s="7"/>
    </row>
    <row r="19" spans="1:15" x14ac:dyDescent="0.3">
      <c r="A19" s="7"/>
      <c r="B19" s="7"/>
      <c r="C19" s="7"/>
      <c r="D19" s="7"/>
      <c r="E19" s="7"/>
      <c r="F19" s="7"/>
      <c r="G19" s="7"/>
      <c r="H19" s="7"/>
      <c r="I19" s="7"/>
      <c r="J19" s="7"/>
      <c r="K19" s="7"/>
      <c r="L19" s="7"/>
      <c r="M19" s="7"/>
      <c r="N19" s="7"/>
      <c r="O19" s="7"/>
    </row>
    <row r="20" spans="1:15" x14ac:dyDescent="0.3">
      <c r="A20" s="7"/>
      <c r="B20" s="7"/>
      <c r="C20" s="7"/>
      <c r="D20" s="7"/>
      <c r="E20" s="7"/>
      <c r="F20" s="7"/>
      <c r="G20" s="7"/>
      <c r="H20" s="7"/>
      <c r="I20" s="7"/>
      <c r="J20" s="7"/>
      <c r="K20" s="7"/>
      <c r="L20" s="7"/>
      <c r="M20" s="7"/>
      <c r="N20" s="7"/>
      <c r="O20" s="7"/>
    </row>
    <row r="21" spans="1:15" x14ac:dyDescent="0.3">
      <c r="A21" s="7"/>
      <c r="B21" s="7"/>
      <c r="C21" s="7"/>
      <c r="D21" s="7"/>
      <c r="E21" s="7"/>
      <c r="F21" s="7"/>
      <c r="G21" s="7"/>
      <c r="H21" s="7"/>
      <c r="I21" s="7"/>
      <c r="J21" s="7"/>
      <c r="K21" s="7"/>
      <c r="L21" s="7"/>
      <c r="M21" s="7"/>
      <c r="N21" s="7"/>
      <c r="O21" s="7"/>
    </row>
    <row r="22" spans="1:15" x14ac:dyDescent="0.3">
      <c r="A22" s="7"/>
      <c r="B22" s="7"/>
      <c r="C22" s="7"/>
      <c r="D22" s="7"/>
      <c r="E22" s="7"/>
      <c r="F22" s="7"/>
      <c r="G22" s="7"/>
      <c r="H22" s="7"/>
      <c r="I22" s="7"/>
      <c r="J22" s="7"/>
      <c r="K22" s="7"/>
      <c r="L22" s="7"/>
      <c r="M22" s="7"/>
      <c r="N22" s="7"/>
      <c r="O22" s="7"/>
    </row>
    <row r="23" spans="1:15" x14ac:dyDescent="0.3">
      <c r="A23" s="7"/>
      <c r="B23" s="7"/>
      <c r="C23" s="7"/>
      <c r="D23" s="7"/>
      <c r="E23" s="7"/>
      <c r="F23" s="7"/>
      <c r="G23" s="7"/>
      <c r="H23" s="7"/>
      <c r="I23" s="7"/>
      <c r="J23" s="7"/>
      <c r="K23" s="7"/>
      <c r="L23" s="7"/>
      <c r="M23" s="7"/>
      <c r="N23" s="7"/>
      <c r="O23" s="7"/>
    </row>
    <row r="24" spans="1:15" x14ac:dyDescent="0.3">
      <c r="A24" s="7"/>
      <c r="B24" s="7"/>
      <c r="C24" s="7"/>
      <c r="D24" s="7"/>
      <c r="E24" s="7"/>
      <c r="F24" s="7"/>
      <c r="G24" s="7"/>
      <c r="H24" s="7"/>
      <c r="I24" s="7"/>
      <c r="J24" s="7"/>
      <c r="K24" s="7"/>
      <c r="L24" s="7"/>
      <c r="M24" s="7"/>
      <c r="N24" s="7"/>
      <c r="O24" s="7"/>
    </row>
    <row r="25" spans="1:15" x14ac:dyDescent="0.3">
      <c r="A25" s="7"/>
      <c r="B25" s="7"/>
      <c r="C25" s="7"/>
      <c r="D25" s="7"/>
      <c r="E25" s="7"/>
      <c r="F25" s="7"/>
      <c r="G25" s="7"/>
      <c r="H25" s="7"/>
      <c r="I25" s="7"/>
      <c r="J25" s="7"/>
      <c r="K25" s="7"/>
      <c r="L25" s="7"/>
      <c r="M25" s="7"/>
      <c r="N25" s="7"/>
      <c r="O25" s="7"/>
    </row>
    <row r="26" spans="1:15" x14ac:dyDescent="0.3">
      <c r="A26" s="7"/>
      <c r="B26" s="7"/>
      <c r="C26" s="7"/>
      <c r="D26" s="7"/>
      <c r="E26" s="7"/>
      <c r="F26" s="7"/>
      <c r="G26" s="7"/>
      <c r="H26" s="7"/>
      <c r="I26" s="7"/>
      <c r="J26" s="7"/>
      <c r="K26" s="7"/>
      <c r="L26" s="7"/>
      <c r="M26" s="7"/>
      <c r="N26" s="7"/>
      <c r="O26" s="7"/>
    </row>
    <row r="27" spans="1:15" x14ac:dyDescent="0.3">
      <c r="A27" s="7"/>
      <c r="B27" s="7"/>
      <c r="C27" s="7"/>
      <c r="D27" s="7"/>
      <c r="E27" s="7"/>
      <c r="F27" s="7"/>
      <c r="G27" s="7"/>
      <c r="H27" s="7"/>
      <c r="I27" s="7"/>
      <c r="J27" s="7"/>
      <c r="K27" s="7"/>
      <c r="L27" s="7"/>
      <c r="M27" s="7"/>
      <c r="N27" s="7"/>
      <c r="O27"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995DD-EEA8-488D-B99A-8012AA5F2191}">
  <dimension ref="A1:P22"/>
  <sheetViews>
    <sheetView topLeftCell="A2" workbookViewId="0">
      <selection activeCell="J32" sqref="J31:J32"/>
    </sheetView>
  </sheetViews>
  <sheetFormatPr defaultRowHeight="14.4" x14ac:dyDescent="0.3"/>
  <sheetData>
    <row r="1" spans="1:16" x14ac:dyDescent="0.3">
      <c r="A1" s="6"/>
      <c r="B1" s="6"/>
      <c r="C1" s="6"/>
      <c r="D1" s="6"/>
      <c r="E1" s="6"/>
      <c r="F1" s="6"/>
      <c r="G1" s="6"/>
      <c r="H1" s="6"/>
      <c r="I1" s="6"/>
      <c r="J1" s="6"/>
      <c r="K1" s="6"/>
      <c r="L1" s="6"/>
      <c r="M1" s="6"/>
      <c r="N1" s="6"/>
      <c r="O1" s="6"/>
      <c r="P1" s="6"/>
    </row>
    <row r="2" spans="1:16" x14ac:dyDescent="0.3">
      <c r="A2" s="6"/>
      <c r="B2" s="6"/>
      <c r="C2" s="6"/>
      <c r="D2" s="6"/>
      <c r="E2" s="6"/>
      <c r="F2" s="6"/>
      <c r="G2" s="6"/>
      <c r="H2" s="6"/>
      <c r="I2" s="6"/>
      <c r="J2" s="6"/>
      <c r="K2" s="6"/>
      <c r="L2" s="6"/>
      <c r="M2" s="6"/>
      <c r="N2" s="6"/>
      <c r="O2" s="6"/>
      <c r="P2" s="6"/>
    </row>
    <row r="3" spans="1:16" x14ac:dyDescent="0.3">
      <c r="A3" s="6"/>
      <c r="B3" s="6"/>
      <c r="C3" s="6"/>
      <c r="D3" s="6"/>
      <c r="E3" s="6"/>
      <c r="F3" s="6"/>
      <c r="G3" s="6"/>
      <c r="H3" s="6"/>
      <c r="I3" s="6"/>
      <c r="J3" s="6"/>
      <c r="K3" s="6"/>
      <c r="L3" s="6"/>
      <c r="M3" s="6"/>
      <c r="N3" s="6"/>
      <c r="O3" s="6"/>
      <c r="P3" s="6"/>
    </row>
    <row r="4" spans="1:16" x14ac:dyDescent="0.3">
      <c r="A4" s="6"/>
      <c r="B4" s="6"/>
      <c r="C4" s="6"/>
      <c r="D4" s="6"/>
      <c r="E4" s="6"/>
      <c r="F4" s="6"/>
      <c r="G4" s="6"/>
      <c r="H4" s="6"/>
      <c r="I4" s="6"/>
      <c r="J4" s="6"/>
      <c r="K4" s="6"/>
      <c r="L4" s="6"/>
      <c r="M4" s="6"/>
      <c r="N4" s="6"/>
      <c r="O4" s="6"/>
      <c r="P4" s="6"/>
    </row>
    <row r="5" spans="1:16" x14ac:dyDescent="0.3">
      <c r="A5" s="6"/>
      <c r="B5" s="6"/>
      <c r="C5" s="6"/>
      <c r="D5" s="6"/>
      <c r="E5" s="6"/>
      <c r="F5" s="6"/>
      <c r="G5" s="6"/>
      <c r="H5" s="6"/>
      <c r="I5" s="6"/>
      <c r="J5" s="6"/>
      <c r="K5" s="6"/>
      <c r="L5" s="6"/>
      <c r="M5" s="6"/>
      <c r="N5" s="6"/>
      <c r="O5" s="6"/>
      <c r="P5" s="6"/>
    </row>
    <row r="6" spans="1:16" x14ac:dyDescent="0.3">
      <c r="A6" s="6"/>
      <c r="B6" s="6"/>
      <c r="C6" s="6"/>
      <c r="D6" s="6"/>
      <c r="E6" s="6"/>
      <c r="F6" s="6"/>
      <c r="G6" s="6"/>
      <c r="H6" s="6"/>
      <c r="I6" s="6"/>
      <c r="J6" s="6"/>
      <c r="K6" s="6"/>
      <c r="L6" s="6"/>
      <c r="M6" s="6"/>
      <c r="N6" s="6"/>
      <c r="O6" s="6"/>
      <c r="P6" s="6"/>
    </row>
    <row r="7" spans="1:16" x14ac:dyDescent="0.3">
      <c r="A7" s="6"/>
      <c r="B7" s="6"/>
      <c r="C7" s="6"/>
      <c r="D7" s="6"/>
      <c r="E7" s="6"/>
      <c r="F7" s="6"/>
      <c r="G7" s="6"/>
      <c r="H7" s="6"/>
      <c r="I7" s="6"/>
      <c r="J7" s="6"/>
      <c r="K7" s="6"/>
      <c r="L7" s="6"/>
      <c r="M7" s="6"/>
      <c r="N7" s="6"/>
      <c r="O7" s="6"/>
      <c r="P7" s="6"/>
    </row>
    <row r="8" spans="1:16" x14ac:dyDescent="0.3">
      <c r="A8" s="6"/>
      <c r="B8" s="6"/>
      <c r="C8" s="6"/>
      <c r="D8" s="6"/>
      <c r="E8" s="6"/>
      <c r="F8" s="6"/>
      <c r="G8" s="6"/>
      <c r="H8" s="6"/>
      <c r="I8" s="6"/>
      <c r="J8" s="6"/>
      <c r="K8" s="6"/>
      <c r="L8" s="6"/>
      <c r="M8" s="6"/>
      <c r="N8" s="6"/>
      <c r="O8" s="6"/>
      <c r="P8" s="6"/>
    </row>
    <row r="9" spans="1:16" x14ac:dyDescent="0.3">
      <c r="A9" s="6"/>
      <c r="B9" s="6"/>
      <c r="C9" s="6"/>
      <c r="D9" s="6"/>
      <c r="E9" s="6"/>
      <c r="F9" s="6"/>
      <c r="G9" s="6"/>
      <c r="H9" s="6"/>
      <c r="I9" s="6"/>
      <c r="J9" s="6"/>
      <c r="K9" s="6"/>
      <c r="L9" s="6"/>
      <c r="M9" s="6"/>
      <c r="N9" s="6"/>
      <c r="O9" s="6"/>
      <c r="P9" s="6"/>
    </row>
    <row r="10" spans="1:16" x14ac:dyDescent="0.3">
      <c r="A10" s="6"/>
      <c r="B10" s="6"/>
      <c r="C10" s="6"/>
      <c r="D10" s="6"/>
      <c r="E10" s="6"/>
      <c r="F10" s="6"/>
      <c r="G10" s="6"/>
      <c r="H10" s="6"/>
      <c r="I10" s="6"/>
      <c r="J10" s="6"/>
      <c r="K10" s="6"/>
      <c r="L10" s="6"/>
      <c r="M10" s="6"/>
      <c r="N10" s="6"/>
      <c r="O10" s="6"/>
      <c r="P10" s="6"/>
    </row>
    <row r="11" spans="1:16" x14ac:dyDescent="0.3">
      <c r="A11" s="6"/>
      <c r="B11" s="6"/>
      <c r="C11" s="6"/>
      <c r="D11" s="6"/>
      <c r="E11" s="6"/>
      <c r="F11" s="6"/>
      <c r="G11" s="6"/>
      <c r="H11" s="6"/>
      <c r="I11" s="6"/>
      <c r="J11" s="6"/>
      <c r="K11" s="6"/>
      <c r="L11" s="6"/>
      <c r="M11" s="6"/>
      <c r="N11" s="6"/>
      <c r="O11" s="6"/>
      <c r="P11" s="6"/>
    </row>
    <row r="12" spans="1:16" x14ac:dyDescent="0.3">
      <c r="A12" s="6"/>
      <c r="B12" s="6"/>
      <c r="C12" s="6"/>
      <c r="D12" s="6"/>
      <c r="E12" s="6"/>
      <c r="F12" s="6"/>
      <c r="G12" s="6"/>
      <c r="H12" s="6"/>
      <c r="I12" s="6"/>
      <c r="J12" s="6"/>
      <c r="K12" s="6"/>
      <c r="L12" s="6"/>
      <c r="M12" s="6"/>
      <c r="N12" s="6"/>
      <c r="O12" s="6"/>
      <c r="P12" s="6"/>
    </row>
    <row r="13" spans="1:16" x14ac:dyDescent="0.3">
      <c r="A13" s="6"/>
      <c r="B13" s="6"/>
      <c r="C13" s="6"/>
      <c r="D13" s="6"/>
      <c r="E13" s="6"/>
      <c r="F13" s="6"/>
      <c r="G13" s="6"/>
      <c r="H13" s="6"/>
      <c r="I13" s="6"/>
      <c r="J13" s="6"/>
      <c r="K13" s="6"/>
      <c r="L13" s="6"/>
      <c r="M13" s="6"/>
      <c r="N13" s="6"/>
      <c r="O13" s="6"/>
      <c r="P13" s="6"/>
    </row>
    <row r="14" spans="1:16" x14ac:dyDescent="0.3">
      <c r="A14" s="6"/>
      <c r="B14" s="6"/>
      <c r="C14" s="6"/>
      <c r="D14" s="6"/>
      <c r="E14" s="6"/>
      <c r="F14" s="6"/>
      <c r="G14" s="6"/>
      <c r="H14" s="6"/>
      <c r="I14" s="6"/>
      <c r="J14" s="6"/>
      <c r="K14" s="6"/>
      <c r="L14" s="6"/>
      <c r="M14" s="6"/>
      <c r="N14" s="6"/>
      <c r="O14" s="6"/>
      <c r="P14" s="6"/>
    </row>
    <row r="15" spans="1:16" x14ac:dyDescent="0.3">
      <c r="A15" s="6"/>
      <c r="B15" s="6"/>
      <c r="C15" s="6"/>
      <c r="D15" s="6"/>
      <c r="E15" s="6"/>
      <c r="F15" s="6"/>
      <c r="G15" s="6"/>
      <c r="H15" s="6"/>
      <c r="I15" s="6"/>
      <c r="J15" s="6"/>
      <c r="K15" s="6"/>
      <c r="L15" s="6"/>
      <c r="M15" s="6"/>
      <c r="N15" s="6"/>
      <c r="O15" s="6"/>
      <c r="P15" s="6"/>
    </row>
    <row r="16" spans="1:16" x14ac:dyDescent="0.3">
      <c r="A16" s="6"/>
      <c r="B16" s="6"/>
      <c r="C16" s="6"/>
      <c r="D16" s="6"/>
      <c r="E16" s="6"/>
      <c r="F16" s="6"/>
      <c r="G16" s="6"/>
      <c r="H16" s="6"/>
      <c r="I16" s="6"/>
      <c r="J16" s="6"/>
      <c r="K16" s="6"/>
      <c r="L16" s="6"/>
      <c r="M16" s="6"/>
      <c r="N16" s="6"/>
      <c r="O16" s="6"/>
      <c r="P16" s="6"/>
    </row>
    <row r="17" spans="1:16" x14ac:dyDescent="0.3">
      <c r="A17" s="6"/>
      <c r="B17" s="6"/>
      <c r="C17" s="6"/>
      <c r="D17" s="6"/>
      <c r="E17" s="6"/>
      <c r="F17" s="6"/>
      <c r="G17" s="6"/>
      <c r="H17" s="6"/>
      <c r="I17" s="6"/>
      <c r="J17" s="6"/>
      <c r="K17" s="6"/>
      <c r="L17" s="6"/>
      <c r="M17" s="6"/>
      <c r="N17" s="6"/>
      <c r="O17" s="6"/>
      <c r="P17" s="6"/>
    </row>
    <row r="18" spans="1:16" x14ac:dyDescent="0.3">
      <c r="A18" s="6"/>
      <c r="B18" s="6"/>
      <c r="C18" s="6"/>
      <c r="D18" s="6"/>
      <c r="E18" s="6"/>
      <c r="F18" s="6"/>
      <c r="G18" s="6"/>
      <c r="H18" s="6"/>
      <c r="I18" s="6"/>
      <c r="J18" s="6"/>
      <c r="K18" s="6"/>
      <c r="L18" s="6"/>
      <c r="M18" s="6"/>
      <c r="N18" s="6"/>
      <c r="O18" s="6"/>
      <c r="P18" s="6"/>
    </row>
    <row r="19" spans="1:16" x14ac:dyDescent="0.3">
      <c r="A19" s="6"/>
      <c r="B19" s="6"/>
      <c r="C19" s="6"/>
      <c r="D19" s="6"/>
      <c r="E19" s="6"/>
      <c r="F19" s="6"/>
      <c r="G19" s="6"/>
      <c r="H19" s="6"/>
      <c r="I19" s="6"/>
      <c r="J19" s="6"/>
      <c r="K19" s="6"/>
      <c r="L19" s="6"/>
      <c r="M19" s="6"/>
      <c r="N19" s="6"/>
      <c r="O19" s="6"/>
      <c r="P19" s="6"/>
    </row>
    <row r="20" spans="1:16" x14ac:dyDescent="0.3">
      <c r="A20" s="6"/>
      <c r="B20" s="6"/>
      <c r="C20" s="6"/>
      <c r="D20" s="6"/>
      <c r="E20" s="6"/>
      <c r="F20" s="6"/>
      <c r="G20" s="6"/>
      <c r="H20" s="6"/>
      <c r="I20" s="6"/>
      <c r="J20" s="6"/>
      <c r="K20" s="6"/>
      <c r="L20" s="6"/>
      <c r="M20" s="6"/>
      <c r="N20" s="6"/>
      <c r="O20" s="6"/>
      <c r="P20" s="6"/>
    </row>
    <row r="21" spans="1:16" x14ac:dyDescent="0.3">
      <c r="A21" s="6"/>
      <c r="B21" s="6"/>
      <c r="C21" s="6"/>
      <c r="D21" s="6"/>
      <c r="E21" s="6"/>
      <c r="F21" s="6"/>
      <c r="G21" s="6"/>
      <c r="H21" s="6"/>
      <c r="I21" s="6"/>
      <c r="J21" s="6"/>
      <c r="K21" s="6"/>
      <c r="L21" s="6"/>
      <c r="M21" s="6"/>
      <c r="N21" s="6"/>
      <c r="O21" s="6"/>
      <c r="P21" s="6"/>
    </row>
    <row r="22" spans="1:16" x14ac:dyDescent="0.3">
      <c r="A22" s="6"/>
      <c r="B22" s="6"/>
      <c r="C22" s="6"/>
      <c r="D22" s="6"/>
      <c r="E22" s="6"/>
      <c r="F22" s="6"/>
      <c r="G22" s="6"/>
      <c r="H22" s="6"/>
      <c r="I22" s="6"/>
      <c r="J22" s="6"/>
      <c r="K22" s="6"/>
      <c r="L22" s="6"/>
      <c r="M22" s="6"/>
      <c r="N22" s="6"/>
      <c r="O22" s="6"/>
      <c r="P22"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0B8CF-8687-40B3-AE54-623DEE8B9E89}">
  <dimension ref="A1:O27"/>
  <sheetViews>
    <sheetView workbookViewId="0"/>
  </sheetViews>
  <sheetFormatPr defaultRowHeight="14.4" x14ac:dyDescent="0.3"/>
  <sheetData>
    <row r="1" spans="1:15" x14ac:dyDescent="0.3">
      <c r="A1" s="7"/>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row r="7" spans="1:15" x14ac:dyDescent="0.3">
      <c r="A7" s="7"/>
      <c r="B7" s="7"/>
      <c r="C7" s="7"/>
      <c r="D7" s="7"/>
      <c r="E7" s="7"/>
      <c r="F7" s="7"/>
      <c r="G7" s="7"/>
      <c r="H7" s="7"/>
      <c r="I7" s="7"/>
      <c r="J7" s="7"/>
      <c r="K7" s="7"/>
      <c r="L7" s="7"/>
      <c r="M7" s="7"/>
      <c r="N7" s="7"/>
      <c r="O7" s="7"/>
    </row>
    <row r="8" spans="1:15" x14ac:dyDescent="0.3">
      <c r="A8" s="7"/>
      <c r="B8" s="7"/>
      <c r="C8" s="7"/>
      <c r="D8" s="7"/>
      <c r="E8" s="7"/>
      <c r="F8" s="7"/>
      <c r="G8" s="7"/>
      <c r="H8" s="7"/>
      <c r="I8" s="7"/>
      <c r="J8" s="7"/>
      <c r="K8" s="7"/>
      <c r="L8" s="7"/>
      <c r="M8" s="7"/>
      <c r="N8" s="7"/>
      <c r="O8" s="7"/>
    </row>
    <row r="9" spans="1:15" x14ac:dyDescent="0.3">
      <c r="A9" s="7"/>
      <c r="B9" s="7"/>
      <c r="C9" s="7"/>
      <c r="D9" s="7"/>
      <c r="E9" s="7"/>
      <c r="F9" s="7"/>
      <c r="G9" s="7"/>
      <c r="H9" s="7"/>
      <c r="I9" s="7"/>
      <c r="J9" s="7"/>
      <c r="K9" s="7"/>
      <c r="L9" s="7"/>
      <c r="M9" s="7"/>
      <c r="N9" s="7"/>
      <c r="O9" s="7"/>
    </row>
    <row r="10" spans="1:15" x14ac:dyDescent="0.3">
      <c r="A10" s="7"/>
      <c r="B10" s="7"/>
      <c r="C10" s="7"/>
      <c r="D10" s="7"/>
      <c r="E10" s="7"/>
      <c r="F10" s="7"/>
      <c r="G10" s="7"/>
      <c r="H10" s="7"/>
      <c r="I10" s="7"/>
      <c r="J10" s="7"/>
      <c r="K10" s="7"/>
      <c r="L10" s="7"/>
      <c r="M10" s="7"/>
      <c r="N10" s="7"/>
      <c r="O10" s="7"/>
    </row>
    <row r="11" spans="1:15" x14ac:dyDescent="0.3">
      <c r="A11" s="7"/>
      <c r="B11" s="7"/>
      <c r="C11" s="7"/>
      <c r="D11" s="7"/>
      <c r="E11" s="7"/>
      <c r="F11" s="7"/>
      <c r="G11" s="7"/>
      <c r="H11" s="7"/>
      <c r="I11" s="7"/>
      <c r="J11" s="7"/>
      <c r="K11" s="7"/>
      <c r="L11" s="7"/>
      <c r="M11" s="7"/>
      <c r="N11" s="7"/>
      <c r="O11" s="7"/>
    </row>
    <row r="12" spans="1:15" x14ac:dyDescent="0.3">
      <c r="A12" s="7"/>
      <c r="B12" s="7"/>
      <c r="C12" s="7"/>
      <c r="D12" s="7"/>
      <c r="E12" s="7"/>
      <c r="F12" s="7"/>
      <c r="G12" s="7"/>
      <c r="H12" s="7"/>
      <c r="I12" s="7"/>
      <c r="J12" s="7"/>
      <c r="K12" s="7"/>
      <c r="L12" s="7"/>
      <c r="M12" s="7"/>
      <c r="N12" s="7"/>
      <c r="O12" s="7"/>
    </row>
    <row r="13" spans="1:15" x14ac:dyDescent="0.3">
      <c r="A13" s="7"/>
      <c r="B13" s="7"/>
      <c r="C13" s="7"/>
      <c r="D13" s="7"/>
      <c r="E13" s="7"/>
      <c r="F13" s="7"/>
      <c r="G13" s="7"/>
      <c r="H13" s="7"/>
      <c r="I13" s="7"/>
      <c r="J13" s="7"/>
      <c r="K13" s="7"/>
      <c r="L13" s="7"/>
      <c r="M13" s="7"/>
      <c r="N13" s="7"/>
      <c r="O13" s="7"/>
    </row>
    <row r="14" spans="1:15" x14ac:dyDescent="0.3">
      <c r="A14" s="7"/>
      <c r="B14" s="7"/>
      <c r="C14" s="7"/>
      <c r="D14" s="7"/>
      <c r="E14" s="7"/>
      <c r="F14" s="7"/>
      <c r="G14" s="7"/>
      <c r="H14" s="7"/>
      <c r="I14" s="7"/>
      <c r="J14" s="7"/>
      <c r="K14" s="7"/>
      <c r="L14" s="7"/>
      <c r="M14" s="7"/>
      <c r="N14" s="7"/>
      <c r="O14" s="7"/>
    </row>
    <row r="15" spans="1:15" x14ac:dyDescent="0.3">
      <c r="A15" s="7"/>
      <c r="B15" s="7"/>
      <c r="C15" s="7"/>
      <c r="D15" s="7"/>
      <c r="E15" s="7"/>
      <c r="F15" s="7"/>
      <c r="G15" s="7"/>
      <c r="H15" s="7"/>
      <c r="I15" s="7"/>
      <c r="J15" s="7"/>
      <c r="K15" s="7"/>
      <c r="L15" s="7"/>
      <c r="M15" s="7"/>
      <c r="N15" s="7"/>
      <c r="O15" s="7"/>
    </row>
    <row r="16" spans="1:15" x14ac:dyDescent="0.3">
      <c r="A16" s="7"/>
      <c r="B16" s="7"/>
      <c r="C16" s="7"/>
      <c r="D16" s="7"/>
      <c r="E16" s="7"/>
      <c r="F16" s="7"/>
      <c r="G16" s="7"/>
      <c r="H16" s="7"/>
      <c r="I16" s="7"/>
      <c r="J16" s="7"/>
      <c r="K16" s="7"/>
      <c r="L16" s="7"/>
      <c r="M16" s="7"/>
      <c r="N16" s="7"/>
      <c r="O16" s="7"/>
    </row>
    <row r="17" spans="1:15" x14ac:dyDescent="0.3">
      <c r="A17" s="7"/>
      <c r="B17" s="7"/>
      <c r="C17" s="7"/>
      <c r="D17" s="7"/>
      <c r="E17" s="7"/>
      <c r="F17" s="7"/>
      <c r="G17" s="7"/>
      <c r="H17" s="7"/>
      <c r="I17" s="7"/>
      <c r="J17" s="7"/>
      <c r="K17" s="7"/>
      <c r="L17" s="7"/>
      <c r="M17" s="7"/>
      <c r="N17" s="7"/>
      <c r="O17" s="7"/>
    </row>
    <row r="18" spans="1:15" x14ac:dyDescent="0.3">
      <c r="A18" s="7"/>
      <c r="B18" s="7"/>
      <c r="C18" s="7"/>
      <c r="D18" s="7"/>
      <c r="E18" s="7"/>
      <c r="F18" s="7"/>
      <c r="G18" s="7"/>
      <c r="H18" s="7"/>
      <c r="I18" s="7"/>
      <c r="J18" s="7"/>
      <c r="K18" s="7"/>
      <c r="L18" s="7"/>
      <c r="M18" s="7"/>
      <c r="N18" s="7"/>
      <c r="O18" s="7"/>
    </row>
    <row r="19" spans="1:15" x14ac:dyDescent="0.3">
      <c r="A19" s="7"/>
      <c r="B19" s="7"/>
      <c r="C19" s="7"/>
      <c r="D19" s="7"/>
      <c r="E19" s="7"/>
      <c r="F19" s="7"/>
      <c r="G19" s="7"/>
      <c r="H19" s="7"/>
      <c r="I19" s="7"/>
      <c r="J19" s="7"/>
      <c r="K19" s="7"/>
      <c r="L19" s="7"/>
      <c r="M19" s="7"/>
      <c r="N19" s="7"/>
      <c r="O19" s="7"/>
    </row>
    <row r="20" spans="1:15" x14ac:dyDescent="0.3">
      <c r="A20" s="7"/>
      <c r="B20" s="7"/>
      <c r="C20" s="7"/>
      <c r="D20" s="7"/>
      <c r="E20" s="7"/>
      <c r="F20" s="7"/>
      <c r="G20" s="7"/>
      <c r="H20" s="7"/>
      <c r="I20" s="7"/>
      <c r="J20" s="7"/>
      <c r="K20" s="7"/>
      <c r="L20" s="7"/>
      <c r="M20" s="7"/>
      <c r="N20" s="7"/>
      <c r="O20" s="7"/>
    </row>
    <row r="21" spans="1:15" x14ac:dyDescent="0.3">
      <c r="A21" s="7"/>
      <c r="B21" s="7"/>
      <c r="C21" s="7"/>
      <c r="D21" s="7"/>
      <c r="E21" s="7"/>
      <c r="F21" s="7"/>
      <c r="G21" s="7"/>
      <c r="H21" s="7"/>
      <c r="I21" s="7"/>
      <c r="J21" s="7"/>
      <c r="K21" s="7"/>
      <c r="L21" s="7"/>
      <c r="M21" s="7"/>
      <c r="N21" s="7"/>
      <c r="O21" s="7"/>
    </row>
    <row r="22" spans="1:15" x14ac:dyDescent="0.3">
      <c r="A22" s="7"/>
      <c r="B22" s="7"/>
      <c r="C22" s="7"/>
      <c r="D22" s="7"/>
      <c r="E22" s="7"/>
      <c r="F22" s="7"/>
      <c r="G22" s="7"/>
      <c r="H22" s="7"/>
      <c r="I22" s="7"/>
      <c r="J22" s="7"/>
      <c r="K22" s="7"/>
      <c r="L22" s="7"/>
      <c r="M22" s="7"/>
      <c r="N22" s="7"/>
      <c r="O22" s="7"/>
    </row>
    <row r="23" spans="1:15" x14ac:dyDescent="0.3">
      <c r="A23" s="7"/>
      <c r="B23" s="7"/>
      <c r="C23" s="7"/>
      <c r="D23" s="7"/>
      <c r="E23" s="7"/>
      <c r="F23" s="7"/>
      <c r="G23" s="7"/>
      <c r="H23" s="7"/>
      <c r="I23" s="7"/>
      <c r="J23" s="7"/>
      <c r="K23" s="7"/>
      <c r="L23" s="7"/>
      <c r="M23" s="7"/>
      <c r="N23" s="7"/>
      <c r="O23" s="7"/>
    </row>
    <row r="24" spans="1:15" x14ac:dyDescent="0.3">
      <c r="A24" s="7"/>
      <c r="B24" s="7"/>
      <c r="C24" s="7"/>
      <c r="D24" s="7"/>
      <c r="E24" s="7"/>
      <c r="F24" s="7"/>
      <c r="G24" s="7"/>
      <c r="H24" s="7"/>
      <c r="I24" s="7"/>
      <c r="J24" s="7"/>
      <c r="K24" s="7"/>
      <c r="L24" s="7"/>
      <c r="M24" s="7"/>
      <c r="N24" s="7"/>
      <c r="O24" s="7"/>
    </row>
    <row r="25" spans="1:15" x14ac:dyDescent="0.3">
      <c r="A25" s="7"/>
      <c r="B25" s="7"/>
      <c r="C25" s="7"/>
      <c r="D25" s="7"/>
      <c r="E25" s="7"/>
      <c r="F25" s="7"/>
      <c r="G25" s="7"/>
      <c r="H25" s="7"/>
      <c r="I25" s="7"/>
      <c r="J25" s="7"/>
      <c r="K25" s="7"/>
      <c r="L25" s="7"/>
      <c r="M25" s="7"/>
      <c r="N25" s="7"/>
      <c r="O25" s="7"/>
    </row>
    <row r="26" spans="1:15" x14ac:dyDescent="0.3">
      <c r="A26" s="7"/>
      <c r="B26" s="7"/>
      <c r="C26" s="7"/>
      <c r="D26" s="7"/>
      <c r="E26" s="7"/>
      <c r="F26" s="7"/>
      <c r="G26" s="7"/>
      <c r="H26" s="7"/>
      <c r="I26" s="7"/>
      <c r="J26" s="7"/>
      <c r="K26" s="7"/>
      <c r="L26" s="7"/>
      <c r="M26" s="7"/>
      <c r="N26" s="7"/>
      <c r="O26" s="7"/>
    </row>
    <row r="27" spans="1:15" x14ac:dyDescent="0.3">
      <c r="A27" s="7"/>
      <c r="B27" s="7"/>
      <c r="C27" s="7"/>
      <c r="D27" s="7"/>
      <c r="E27" s="7"/>
      <c r="F27" s="7"/>
      <c r="G27" s="7"/>
      <c r="H27" s="7"/>
      <c r="I27" s="7"/>
      <c r="J27" s="7"/>
      <c r="K27" s="7"/>
      <c r="L27" s="7"/>
      <c r="M27" s="7"/>
      <c r="N27" s="7"/>
      <c r="O27"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BE340D8-9250-4A7F-B00B-100A73B956CD}">
  <ds:schemaRefs/>
</ds:datastoreItem>
</file>

<file path=customXml/itemProps2.xml><?xml version="1.0" encoding="utf-8"?>
<ds:datastoreItem xmlns:ds="http://schemas.openxmlformats.org/officeDocument/2006/customXml" ds:itemID="{26128CCC-BB54-453C-9966-DAE1D61C55E1}">
  <ds:schemaRefs/>
</ds:datastoreItem>
</file>

<file path=customXml/itemProps3.xml><?xml version="1.0" encoding="utf-8"?>
<ds:datastoreItem xmlns:ds="http://schemas.openxmlformats.org/officeDocument/2006/customXml" ds:itemID="{8BBCFF1B-9B64-4C3F-93A0-FAA8B3B03B2B}">
  <ds:schemaRefs/>
</ds:datastoreItem>
</file>

<file path=customXml/itemProps4.xml><?xml version="1.0" encoding="utf-8"?>
<ds:datastoreItem xmlns:ds="http://schemas.openxmlformats.org/officeDocument/2006/customXml" ds:itemID="{6BE671F9-5192-4388-ADD5-28811FE46122}">
  <ds:schemaRefs/>
</ds:datastoreItem>
</file>

<file path=customXml/itemProps5.xml><?xml version="1.0" encoding="utf-8"?>
<ds:datastoreItem xmlns:ds="http://schemas.openxmlformats.org/officeDocument/2006/customXml" ds:itemID="{56D8383F-C3BF-44AF-BFF4-DC4634A8ECE3}">
  <ds:schemaRefs/>
</ds:datastoreItem>
</file>

<file path=customXml/itemProps6.xml><?xml version="1.0" encoding="utf-8"?>
<ds:datastoreItem xmlns:ds="http://schemas.openxmlformats.org/officeDocument/2006/customXml" ds:itemID="{DCD92836-63A9-49C5-BEF7-65719918BB86}">
  <ds:schemaRefs/>
</ds:datastoreItem>
</file>

<file path=customXml/itemProps7.xml><?xml version="1.0" encoding="utf-8"?>
<ds:datastoreItem xmlns:ds="http://schemas.openxmlformats.org/officeDocument/2006/customXml" ds:itemID="{1C0DD59C-0451-48BB-8AA4-61DDB11827F0}">
  <ds:schemaRefs/>
</ds:datastoreItem>
</file>

<file path=customXml/itemProps8.xml><?xml version="1.0" encoding="utf-8"?>
<ds:datastoreItem xmlns:ds="http://schemas.openxmlformats.org/officeDocument/2006/customXml" ds:itemID="{F76D3172-028A-4E6E-89BD-EDD6AD25E7D6}">
  <ds:schemaRefs/>
</ds:datastoreItem>
</file>

<file path=customXml/itemProps9.xml><?xml version="1.0" encoding="utf-8"?>
<ds:datastoreItem xmlns:ds="http://schemas.openxmlformats.org/officeDocument/2006/customXml" ds:itemID="{4E62198E-0FDC-44B3-B1F8-91BD64553B0C}">
  <ds:schemaRefs/>
</ds:datastoreItem>
</file>

<file path=customXml/itemProps10.xml><?xml version="1.0" encoding="utf-8"?>
<ds:datastoreItem xmlns:ds="http://schemas.openxmlformats.org/officeDocument/2006/customXml" ds:itemID="{DB99137F-7CD9-409D-9728-A62FC59691EB}">
  <ds:schemaRefs/>
</ds:datastoreItem>
</file>

<file path=customXml/itemProps11.xml><?xml version="1.0" encoding="utf-8"?>
<ds:datastoreItem xmlns:ds="http://schemas.openxmlformats.org/officeDocument/2006/customXml" ds:itemID="{A32036F5-8FE6-4CAD-892A-E9B23762383E}">
  <ds:schemaRefs/>
</ds:datastoreItem>
</file>

<file path=customXml/itemProps12.xml><?xml version="1.0" encoding="utf-8"?>
<ds:datastoreItem xmlns:ds="http://schemas.openxmlformats.org/officeDocument/2006/customXml" ds:itemID="{C0330B29-21F8-4C64-B0F0-0BD3393752AA}">
  <ds:schemaRefs/>
</ds:datastoreItem>
</file>

<file path=customXml/itemProps13.xml><?xml version="1.0" encoding="utf-8"?>
<ds:datastoreItem xmlns:ds="http://schemas.openxmlformats.org/officeDocument/2006/customXml" ds:itemID="{176C8F3A-A127-4392-8181-39A7CD76A9C7}">
  <ds:schemaRefs/>
</ds:datastoreItem>
</file>

<file path=customXml/itemProps14.xml><?xml version="1.0" encoding="utf-8"?>
<ds:datastoreItem xmlns:ds="http://schemas.openxmlformats.org/officeDocument/2006/customXml" ds:itemID="{C58A0B8C-5BEC-4887-B068-CD5198B5EE60}">
  <ds:schemaRefs/>
</ds:datastoreItem>
</file>

<file path=customXml/itemProps15.xml><?xml version="1.0" encoding="utf-8"?>
<ds:datastoreItem xmlns:ds="http://schemas.openxmlformats.org/officeDocument/2006/customXml" ds:itemID="{BF6A9C30-BB1A-44BC-86DA-BF67B7BD2486}">
  <ds:schemaRefs/>
</ds:datastoreItem>
</file>

<file path=customXml/itemProps16.xml><?xml version="1.0" encoding="utf-8"?>
<ds:datastoreItem xmlns:ds="http://schemas.openxmlformats.org/officeDocument/2006/customXml" ds:itemID="{23858AC3-9948-47D8-A18A-17FDAD10A790}">
  <ds:schemaRefs/>
</ds:datastoreItem>
</file>

<file path=customXml/itemProps17.xml><?xml version="1.0" encoding="utf-8"?>
<ds:datastoreItem xmlns:ds="http://schemas.openxmlformats.org/officeDocument/2006/customXml" ds:itemID="{1CE1EBEB-2E29-4490-A671-C3D84E461CE7}">
  <ds:schemaRefs/>
</ds:datastoreItem>
</file>

<file path=customXml/itemProps18.xml><?xml version="1.0" encoding="utf-8"?>
<ds:datastoreItem xmlns:ds="http://schemas.openxmlformats.org/officeDocument/2006/customXml" ds:itemID="{AADEA4BB-3DCE-465C-95FE-2F75297414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 </vt:lpstr>
      <vt:lpstr>Dashboard</vt:lpstr>
      <vt:lpstr>Avg wait time daly trand</vt:lpstr>
      <vt:lpstr>Daily ER no of pateint</vt:lpstr>
      <vt:lpstr>satisfacation score daily trand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Atul bodke</dc:creator>
  <cp:lastModifiedBy>amol patil</cp:lastModifiedBy>
  <dcterms:created xsi:type="dcterms:W3CDTF">2026-01-08T09:59:26Z</dcterms:created>
  <dcterms:modified xsi:type="dcterms:W3CDTF">2026-02-20T10:03:56Z</dcterms:modified>
</cp:coreProperties>
</file>